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tharvaparulkar/Downloads/"/>
    </mc:Choice>
  </mc:AlternateContent>
  <xr:revisionPtr revIDLastSave="0" documentId="13_ncr:1_{22457663-9E8B-EA41-84CD-C8B2CEB288F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ashboard" sheetId="1" r:id="rId1"/>
    <sheet name="Diagnoses (ICD-10)" sheetId="2" r:id="rId2"/>
    <sheet name="Procedures (CPT-HCPCS)" sheetId="3" r:id="rId3"/>
    <sheet name="Code Pairings Ref" sheetId="4" r:id="rId4"/>
    <sheet name="Claims (raw)" sheetId="5" r:id="rId5"/>
    <sheet name="Claim Validation" sheetId="6" r:id="rId6"/>
    <sheet name="Top Risky Pairing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" l="1"/>
  <c r="E5" i="1"/>
  <c r="C5" i="1"/>
  <c r="A5" i="1"/>
</calcChain>
</file>

<file path=xl/sharedStrings.xml><?xml version="1.0" encoding="utf-8"?>
<sst xmlns="http://schemas.openxmlformats.org/spreadsheetml/2006/main" count="4098" uniqueCount="611">
  <si>
    <t>Healthcare Billing Code Validation — Denial Risk Dashboard</t>
  </si>
  <si>
    <t>ICD-10 to CPT/HCPCS medical-necessity validation | Case study demo data (200 synthetic claims)</t>
  </si>
  <si>
    <t>Total Claims (sample)</t>
  </si>
  <si>
    <t>Overall Denial Rate</t>
  </si>
  <si>
    <t>Total Billed ($)</t>
  </si>
  <si>
    <t>Denied Amount ($)</t>
  </si>
  <si>
    <t>Denial Risk by Confidence Tier</t>
  </si>
  <si>
    <t>Denial Rate by Payer</t>
  </si>
  <si>
    <t>confidence_tier</t>
  </si>
  <si>
    <t>total_claims</t>
  </si>
  <si>
    <t>denied_claims</t>
  </si>
  <si>
    <t>denial_rate_pct</t>
  </si>
  <si>
    <t>total_billed</t>
  </si>
  <si>
    <t>denied_amount</t>
  </si>
  <si>
    <t>payer</t>
  </si>
  <si>
    <t>HIGH</t>
  </si>
  <si>
    <t>Medicare</t>
  </si>
  <si>
    <t>MEDIUM</t>
  </si>
  <si>
    <t>Cigna</t>
  </si>
  <si>
    <t>NO_MATCH</t>
  </si>
  <si>
    <t>UnitedHealthcare</t>
  </si>
  <si>
    <t>Blue Cross Blue Shield</t>
  </si>
  <si>
    <t>Aetna</t>
  </si>
  <si>
    <t>Humana</t>
  </si>
  <si>
    <t>Medicaid</t>
  </si>
  <si>
    <t>icd10_code</t>
  </si>
  <si>
    <t>description</t>
  </si>
  <si>
    <t>chapter</t>
  </si>
  <si>
    <t>category</t>
  </si>
  <si>
    <t>E11.9</t>
  </si>
  <si>
    <t>Type 2 diabetes mellitus without complications</t>
  </si>
  <si>
    <t>Endocrine, nutritional and metabolic diseases</t>
  </si>
  <si>
    <t>Diabetes</t>
  </si>
  <si>
    <t>E11.65</t>
  </si>
  <si>
    <t>Type 2 diabetes mellitus with hyperglycemia</t>
  </si>
  <si>
    <t>I10</t>
  </si>
  <si>
    <t>Essential (primary) hypertension</t>
  </si>
  <si>
    <t>Diseases of the circulatory system</t>
  </si>
  <si>
    <t>Cardiovascular</t>
  </si>
  <si>
    <t>I25.10</t>
  </si>
  <si>
    <t>Atherosclerotic heart disease of native coronary artery without angina pectoris</t>
  </si>
  <si>
    <t>J45.909</t>
  </si>
  <si>
    <t>Unspecified asthma, uncomplicated</t>
  </si>
  <si>
    <t>Diseases of the respiratory system</t>
  </si>
  <si>
    <t>Respiratory</t>
  </si>
  <si>
    <t>J18.9</t>
  </si>
  <si>
    <t>Pneumonia, unspecified organism</t>
  </si>
  <si>
    <t>S52.501A</t>
  </si>
  <si>
    <t>Unspecified fracture of the lower end of right radius, initial encounter</t>
  </si>
  <si>
    <t>Injury, poisoning and certain other consequences of external causes</t>
  </si>
  <si>
    <t>Musculoskeletal</t>
  </si>
  <si>
    <t>M17.11</t>
  </si>
  <si>
    <t>Unilateral primary osteoarthritis, right knee</t>
  </si>
  <si>
    <t>Diseases of the musculoskeletal system and connective tissue</t>
  </si>
  <si>
    <t>M54.50</t>
  </si>
  <si>
    <t>Low back pain, unspecified</t>
  </si>
  <si>
    <t>F32.9</t>
  </si>
  <si>
    <t>Major depressive disorder, single episode, unspecified</t>
  </si>
  <si>
    <t>Mental, Behavioral and Neurodevelopmental disorders</t>
  </si>
  <si>
    <t>BehavioralHealth</t>
  </si>
  <si>
    <t>F41.1</t>
  </si>
  <si>
    <t>Generalized anxiety disorder</t>
  </si>
  <si>
    <t>O80</t>
  </si>
  <si>
    <t>Encounter for full-term uncomplicated delivery</t>
  </si>
  <si>
    <t>Pregnancy, childbirth and the puerperium</t>
  </si>
  <si>
    <t>Obstetrics</t>
  </si>
  <si>
    <t>Z34.90</t>
  </si>
  <si>
    <t>Encounter for supervision of normal pregnancy, unspecified trimester</t>
  </si>
  <si>
    <t>N18.3</t>
  </si>
  <si>
    <t>Chronic kidney disease, stage 3</t>
  </si>
  <si>
    <t>Diseases of the genitourinary system</t>
  </si>
  <si>
    <t>Renal</t>
  </si>
  <si>
    <t>N39.0</t>
  </si>
  <si>
    <t>Urinary tract infection, site not specified</t>
  </si>
  <si>
    <t>K21.9</t>
  </si>
  <si>
    <t>Gastro-esophageal reflux disease without esophagitis</t>
  </si>
  <si>
    <t>Diseases of the digestive system</t>
  </si>
  <si>
    <t>GI</t>
  </si>
  <si>
    <t>K35.80</t>
  </si>
  <si>
    <t>Unspecified acute appendicitis</t>
  </si>
  <si>
    <t>C50.919</t>
  </si>
  <si>
    <t>Malignant neoplasm of unspecified site of unspecified female breast</t>
  </si>
  <si>
    <t>Neoplasms</t>
  </si>
  <si>
    <t>Oncology</t>
  </si>
  <si>
    <t>C34.90</t>
  </si>
  <si>
    <t>Malignant neoplasm of unspecified part of unspecified bronchus or lung</t>
  </si>
  <si>
    <t>Z00.00</t>
  </si>
  <si>
    <t>Encounter for general adult medical examination without abnormal findings</t>
  </si>
  <si>
    <t>Factors influencing health status</t>
  </si>
  <si>
    <t>Preventive</t>
  </si>
  <si>
    <t>Z23</t>
  </si>
  <si>
    <t>Encounter for immunization</t>
  </si>
  <si>
    <t>H52.4</t>
  </si>
  <si>
    <t>Presbyopia</t>
  </si>
  <si>
    <t>Diseases of the eye and adnexa</t>
  </si>
  <si>
    <t>Vision</t>
  </si>
  <si>
    <t>H35.30</t>
  </si>
  <si>
    <t>Unspecified macular degeneration</t>
  </si>
  <si>
    <t>R07.9</t>
  </si>
  <si>
    <t>Chest pain, unspecified</t>
  </si>
  <si>
    <t>Symptoms, signs and abnormal clinical findings</t>
  </si>
  <si>
    <t>Symptom</t>
  </si>
  <si>
    <t>R51.9</t>
  </si>
  <si>
    <t>Headache, unspecified</t>
  </si>
  <si>
    <t>proc_code</t>
  </si>
  <si>
    <t>code_type</t>
  </si>
  <si>
    <t>short_label</t>
  </si>
  <si>
    <t>99213</t>
  </si>
  <si>
    <t>CPT</t>
  </si>
  <si>
    <t>Office visit, established patient, low-moderate complexity</t>
  </si>
  <si>
    <t>OfficeVisit</t>
  </si>
  <si>
    <t>99214</t>
  </si>
  <si>
    <t>Office visit, established patient, moderate complexity</t>
  </si>
  <si>
    <t>99203</t>
  </si>
  <si>
    <t>Office visit, new patient, low complexity</t>
  </si>
  <si>
    <t>99283</t>
  </si>
  <si>
    <t>Emergency department visit, moderate severity</t>
  </si>
  <si>
    <t>Emergency</t>
  </si>
  <si>
    <t>99284</t>
  </si>
  <si>
    <t>Emergency department visit, high severity</t>
  </si>
  <si>
    <t>80053</t>
  </si>
  <si>
    <t>Comprehensive metabolic blood panel</t>
  </si>
  <si>
    <t>Lab</t>
  </si>
  <si>
    <t>83036</t>
  </si>
  <si>
    <t>Hemoglobin A1c blood test</t>
  </si>
  <si>
    <t>81002</t>
  </si>
  <si>
    <t>Urinalysis, non-automated, without microscopy</t>
  </si>
  <si>
    <t>71046</t>
  </si>
  <si>
    <t>Chest X-ray, 2 views</t>
  </si>
  <si>
    <t>Imaging</t>
  </si>
  <si>
    <t>73721</t>
  </si>
  <si>
    <t>MRI of lower extremity joint</t>
  </si>
  <si>
    <t>74176</t>
  </si>
  <si>
    <t>CT scan of abdomen and pelvis</t>
  </si>
  <si>
    <t>93000</t>
  </si>
  <si>
    <t>Electrocardiogram, routine, with interpretation</t>
  </si>
  <si>
    <t>Cardiology</t>
  </si>
  <si>
    <t>93306</t>
  </si>
  <si>
    <t>Echocardiogram, complete, with Doppler</t>
  </si>
  <si>
    <t>29881</t>
  </si>
  <si>
    <t>Knee arthroscopy with meniscectomy</t>
  </si>
  <si>
    <t>Surgery</t>
  </si>
  <si>
    <t>27447</t>
  </si>
  <si>
    <t>Total knee replacement (arthroplasty)</t>
  </si>
  <si>
    <t>25605</t>
  </si>
  <si>
    <t>Closed treatment of distal radius fracture</t>
  </si>
  <si>
    <t>59400</t>
  </si>
  <si>
    <t>Routine obstetric care, vaginal delivery, antepartum/postpartum care</t>
  </si>
  <si>
    <t>59510</t>
  </si>
  <si>
    <t>Routine obstetric care, cesarean delivery, antepartum/postpartum care</t>
  </si>
  <si>
    <t>90837</t>
  </si>
  <si>
    <t>Psychotherapy, individual, 60 minutes</t>
  </si>
  <si>
    <t>90791</t>
  </si>
  <si>
    <t>Psychiatric diagnostic evaluation</t>
  </si>
  <si>
    <t>44970</t>
  </si>
  <si>
    <t>Laparoscopic appendectomy</t>
  </si>
  <si>
    <t>45378</t>
  </si>
  <si>
    <t>Diagnostic colonoscopy</t>
  </si>
  <si>
    <t>77067</t>
  </si>
  <si>
    <t>Screening mammography, bilateral</t>
  </si>
  <si>
    <t>OncologyScreening</t>
  </si>
  <si>
    <t>96413</t>
  </si>
  <si>
    <t>Chemotherapy infusion, initial hour, single drug</t>
  </si>
  <si>
    <t>92014</t>
  </si>
  <si>
    <t>Comprehensive eye exam, established patient</t>
  </si>
  <si>
    <t>92134</t>
  </si>
  <si>
    <t>Optical coherence tomography, retina</t>
  </si>
  <si>
    <t>90471</t>
  </si>
  <si>
    <t>Immunization administration, one vaccine</t>
  </si>
  <si>
    <t>99395</t>
  </si>
  <si>
    <t>Periodic preventive medicine exam, established patient</t>
  </si>
  <si>
    <t>J1100</t>
  </si>
  <si>
    <t>HCPCS-II</t>
  </si>
  <si>
    <t>Injection, dexamethasone sodium phosphate, 1 mg</t>
  </si>
  <si>
    <t>DrugInjection</t>
  </si>
  <si>
    <t>J0696</t>
  </si>
  <si>
    <t>Injection, ceftriaxone sodium, per 250 mg</t>
  </si>
  <si>
    <t>E0114</t>
  </si>
  <si>
    <t>Crutches, underarm, other than wood, adjustable or fixed</t>
  </si>
  <si>
    <t>DME</t>
  </si>
  <si>
    <t>E0143</t>
  </si>
  <si>
    <t>Walker, folding, wheeled, adjustable or fixed height</t>
  </si>
  <si>
    <t>A4253</t>
  </si>
  <si>
    <t>Blood glucose test strips, per 50</t>
  </si>
  <si>
    <t>DiabeticSupplies</t>
  </si>
  <si>
    <t>E0784</t>
  </si>
  <si>
    <t>External ambulatory insulin infusion pump</t>
  </si>
  <si>
    <t>A0428</t>
  </si>
  <si>
    <t>Ambulance service, basic life support, non-emergency</t>
  </si>
  <si>
    <t>Ambulance</t>
  </si>
  <si>
    <t>L1832</t>
  </si>
  <si>
    <t>Knee orthosis, adjustable knee joint, prefabricated</t>
  </si>
  <si>
    <t>Orthotics</t>
  </si>
  <si>
    <t>diagnosis_category</t>
  </si>
  <si>
    <t>proc_category</t>
  </si>
  <si>
    <t>source_note</t>
  </si>
  <si>
    <t>A1c/metabolic panels routinely justified by diabetes dx</t>
  </si>
  <si>
    <t>Glucose monitoring supplies tied to diabetes mgmt</t>
  </si>
  <si>
    <t>Routine diabetes management visits</t>
  </si>
  <si>
    <t>EKG/echo standard workup for cardiovascular dx</t>
  </si>
  <si>
    <t>Routine hypertension/CAD management</t>
  </si>
  <si>
    <t>CT/MRI sometimes justified, depends on presentation</t>
  </si>
  <si>
    <t>Chest X-ray standard for pneumonia/asthma workup</t>
  </si>
  <si>
    <t>Routine respiratory management</t>
  </si>
  <si>
    <t>MRI/X-ray standard for fracture/joint injury</t>
  </si>
  <si>
    <t>Surgery justified only for qualifying severity</t>
  </si>
  <si>
    <t>Bracing/orthosis common post-injury</t>
  </si>
  <si>
    <t>Mobility aids depend on severity/mobility limitation</t>
  </si>
  <si>
    <t>Psychotherapy/psych eval matched to behavioral health dx</t>
  </si>
  <si>
    <t>Delivery/antepartum codes matched to pregnancy dx</t>
  </si>
  <si>
    <t>Ultrasound during pregnancy, context-dependent</t>
  </si>
  <si>
    <t>Renal panels standard for CKD/UTI workup</t>
  </si>
  <si>
    <t>Antibiotic injection depends on UTI severity</t>
  </si>
  <si>
    <t>Colonoscopy standard GI workup</t>
  </si>
  <si>
    <t>Appendectomy justified only for acute appendicitis</t>
  </si>
  <si>
    <t>Chemotherapy matched to malignant neoplasm dx</t>
  </si>
  <si>
    <t>Mammography standard breast cancer screening</t>
  </si>
  <si>
    <t>Routine wellness visit/immunization matched to preventive dx</t>
  </si>
  <si>
    <t>Eye exam/OCT matched to vision dx</t>
  </si>
  <si>
    <t>Chest pain/headache workups vary widely by context</t>
  </si>
  <si>
    <t>ED visit justified depending on acuity, needs review</t>
  </si>
  <si>
    <t>REVIEW</t>
  </si>
  <si>
    <t>EKG for chest pain often justified but payer scrutiny is high</t>
  </si>
  <si>
    <t>claim_id</t>
  </si>
  <si>
    <t>patient_id</t>
  </si>
  <si>
    <t>service_date</t>
  </si>
  <si>
    <t>billed_amount</t>
  </si>
  <si>
    <t>claim_status</t>
  </si>
  <si>
    <t>denial_reason</t>
  </si>
  <si>
    <t>PT10001</t>
  </si>
  <si>
    <t>2025-05-23</t>
  </si>
  <si>
    <t>PAID</t>
  </si>
  <si>
    <t>PT10002</t>
  </si>
  <si>
    <t>2025-04-06</t>
  </si>
  <si>
    <t>PT10003</t>
  </si>
  <si>
    <t>2025-10-12</t>
  </si>
  <si>
    <t>DENIED</t>
  </si>
  <si>
    <t>Missing prior authorization for billed service</t>
  </si>
  <si>
    <t>PT10004</t>
  </si>
  <si>
    <t>2025-08-09</t>
  </si>
  <si>
    <t>PT10005</t>
  </si>
  <si>
    <t>2025-05-08</t>
  </si>
  <si>
    <t>PT10006</t>
  </si>
  <si>
    <t>2025-10-24</t>
  </si>
  <si>
    <t>PT10007</t>
  </si>
  <si>
    <t>2025-12-30</t>
  </si>
  <si>
    <t>PT10008</t>
  </si>
  <si>
    <t>2025-06-17</t>
  </si>
  <si>
    <t>PENDING</t>
  </si>
  <si>
    <t>PT10009</t>
  </si>
  <si>
    <t>2025-08-23</t>
  </si>
  <si>
    <t>PT10010</t>
  </si>
  <si>
    <t>2026-05-27</t>
  </si>
  <si>
    <t>PT10011</t>
  </si>
  <si>
    <t>2026-02-13</t>
  </si>
  <si>
    <t>PT10012</t>
  </si>
  <si>
    <t>2025-06-13</t>
  </si>
  <si>
    <t>PT10013</t>
  </si>
  <si>
    <t>2025-04-28</t>
  </si>
  <si>
    <t>PT10014</t>
  </si>
  <si>
    <t>2025-06-11</t>
  </si>
  <si>
    <t>PT10015</t>
  </si>
  <si>
    <t>2026-06-04</t>
  </si>
  <si>
    <t>PT10016</t>
  </si>
  <si>
    <t>2025-01-20</t>
  </si>
  <si>
    <t>PT10017</t>
  </si>
  <si>
    <t>2025-03-22</t>
  </si>
  <si>
    <t>PT10018</t>
  </si>
  <si>
    <t>2025-06-19</t>
  </si>
  <si>
    <t>PT10019</t>
  </si>
  <si>
    <t>2026-01-18</t>
  </si>
  <si>
    <t>PT10020</t>
  </si>
  <si>
    <t>2025-08-24</t>
  </si>
  <si>
    <t>PT10021</t>
  </si>
  <si>
    <t>2025-03-14</t>
  </si>
  <si>
    <t>PT10022</t>
  </si>
  <si>
    <t>2026-02-21</t>
  </si>
  <si>
    <t>PT10023</t>
  </si>
  <si>
    <t>2026-02-17</t>
  </si>
  <si>
    <t>PT10024</t>
  </si>
  <si>
    <t>2026-03-09</t>
  </si>
  <si>
    <t>PT10025</t>
  </si>
  <si>
    <t>PT10026</t>
  </si>
  <si>
    <t>2026-01-24</t>
  </si>
  <si>
    <t>PT10027</t>
  </si>
  <si>
    <t>2025-06-08</t>
  </si>
  <si>
    <t>PT10028</t>
  </si>
  <si>
    <t>2025-02-21</t>
  </si>
  <si>
    <t>PT10029</t>
  </si>
  <si>
    <t>2025-03-11</t>
  </si>
  <si>
    <t>PT10030</t>
  </si>
  <si>
    <t>2026-03-06</t>
  </si>
  <si>
    <t>PT10031</t>
  </si>
  <si>
    <t>2025-09-29</t>
  </si>
  <si>
    <t>PT10032</t>
  </si>
  <si>
    <t>2025-04-13</t>
  </si>
  <si>
    <t>PT10033</t>
  </si>
  <si>
    <t>2025-10-19</t>
  </si>
  <si>
    <t>PT10034</t>
  </si>
  <si>
    <t>2025-05-18</t>
  </si>
  <si>
    <t>PT10035</t>
  </si>
  <si>
    <t>2025-07-28</t>
  </si>
  <si>
    <t>PT10036</t>
  </si>
  <si>
    <t>2025-10-11</t>
  </si>
  <si>
    <t>PT10037</t>
  </si>
  <si>
    <t>2025-01-10</t>
  </si>
  <si>
    <t>PT10038</t>
  </si>
  <si>
    <t>2026-03-17</t>
  </si>
  <si>
    <t>PT10039</t>
  </si>
  <si>
    <t>2025-09-13</t>
  </si>
  <si>
    <t>PT10040</t>
  </si>
  <si>
    <t>2025-07-01</t>
  </si>
  <si>
    <t>PT10041</t>
  </si>
  <si>
    <t>2025-04-21</t>
  </si>
  <si>
    <t>PT10042</t>
  </si>
  <si>
    <t>2025-08-17</t>
  </si>
  <si>
    <t>PT10043</t>
  </si>
  <si>
    <t>2026-06-06</t>
  </si>
  <si>
    <t>PT10044</t>
  </si>
  <si>
    <t>PT10045</t>
  </si>
  <si>
    <t>2025-07-14</t>
  </si>
  <si>
    <t>PT10046</t>
  </si>
  <si>
    <t>2025-03-13</t>
  </si>
  <si>
    <t>PT10047</t>
  </si>
  <si>
    <t>2026-02-23</t>
  </si>
  <si>
    <t>PT10048</t>
  </si>
  <si>
    <t>2026-02-20</t>
  </si>
  <si>
    <t>Procedure not covered for submitted diagnosis code</t>
  </si>
  <si>
    <t>PT10049</t>
  </si>
  <si>
    <t>2026-03-29</t>
  </si>
  <si>
    <t>PT10050</t>
  </si>
  <si>
    <t>2026-06-12</t>
  </si>
  <si>
    <t>PT10051</t>
  </si>
  <si>
    <t>2025-07-23</t>
  </si>
  <si>
    <t>PT10052</t>
  </si>
  <si>
    <t>2025-07-19</t>
  </si>
  <si>
    <t>PT10053</t>
  </si>
  <si>
    <t>2025-08-13</t>
  </si>
  <si>
    <t>PT10054</t>
  </si>
  <si>
    <t>2025-05-17</t>
  </si>
  <si>
    <t>PT10055</t>
  </si>
  <si>
    <t>2025-06-12</t>
  </si>
  <si>
    <t>PT10056</t>
  </si>
  <si>
    <t>2025-10-09</t>
  </si>
  <si>
    <t>PT10057</t>
  </si>
  <si>
    <t>2025-08-25</t>
  </si>
  <si>
    <t>PT10058</t>
  </si>
  <si>
    <t>2025-03-05</t>
  </si>
  <si>
    <t>Diagnosis does not support medical necessity for procedure billed</t>
  </si>
  <si>
    <t>PT10059</t>
  </si>
  <si>
    <t>2025-12-27</t>
  </si>
  <si>
    <t>PT10060</t>
  </si>
  <si>
    <t>2025-10-07</t>
  </si>
  <si>
    <t>PT10061</t>
  </si>
  <si>
    <t>2025-01-28</t>
  </si>
  <si>
    <t>PT10062</t>
  </si>
  <si>
    <t>PT10063</t>
  </si>
  <si>
    <t>2025-03-25</t>
  </si>
  <si>
    <t>PT10064</t>
  </si>
  <si>
    <t>2025-02-11</t>
  </si>
  <si>
    <t>PT10065</t>
  </si>
  <si>
    <t>2026-04-30</t>
  </si>
  <si>
    <t>PT10066</t>
  </si>
  <si>
    <t>PT10067</t>
  </si>
  <si>
    <t>2025-03-19</t>
  </si>
  <si>
    <t>PT10068</t>
  </si>
  <si>
    <t>2026-06-30</t>
  </si>
  <si>
    <t>PT10069</t>
  </si>
  <si>
    <t>2026-03-20</t>
  </si>
  <si>
    <t>PT10070</t>
  </si>
  <si>
    <t>2026-04-22</t>
  </si>
  <si>
    <t>PT10071</t>
  </si>
  <si>
    <t>2025-09-07</t>
  </si>
  <si>
    <t>PT10072</t>
  </si>
  <si>
    <t>2026-05-15</t>
  </si>
  <si>
    <t>PT10073</t>
  </si>
  <si>
    <t>2025-03-29</t>
  </si>
  <si>
    <t>PT10074</t>
  </si>
  <si>
    <t>2025-01-18</t>
  </si>
  <si>
    <t>PT10075</t>
  </si>
  <si>
    <t>2026-03-12</t>
  </si>
  <si>
    <t>PT10076</t>
  </si>
  <si>
    <t>2025-07-17</t>
  </si>
  <si>
    <t>PT10077</t>
  </si>
  <si>
    <t>2026-05-11</t>
  </si>
  <si>
    <t>PT10078</t>
  </si>
  <si>
    <t>2025-08-21</t>
  </si>
  <si>
    <t>PT10079</t>
  </si>
  <si>
    <t>2025-05-10</t>
  </si>
  <si>
    <t>PT10080</t>
  </si>
  <si>
    <t>2026-03-28</t>
  </si>
  <si>
    <t>PT10081</t>
  </si>
  <si>
    <t>2026-05-19</t>
  </si>
  <si>
    <t>PT10082</t>
  </si>
  <si>
    <t>2025-05-02</t>
  </si>
  <si>
    <t>PT10083</t>
  </si>
  <si>
    <t>2026-03-16</t>
  </si>
  <si>
    <t>PT10084</t>
  </si>
  <si>
    <t>2025-09-28</t>
  </si>
  <si>
    <t>PT10085</t>
  </si>
  <si>
    <t>2026-04-27</t>
  </si>
  <si>
    <t>PT10086</t>
  </si>
  <si>
    <t>2025-07-22</t>
  </si>
  <si>
    <t>PT10087</t>
  </si>
  <si>
    <t>PT10088</t>
  </si>
  <si>
    <t>2026-05-28</t>
  </si>
  <si>
    <t>PT10089</t>
  </si>
  <si>
    <t>2025-04-04</t>
  </si>
  <si>
    <t>PT10090</t>
  </si>
  <si>
    <t>PT10091</t>
  </si>
  <si>
    <t>PT10092</t>
  </si>
  <si>
    <t>2026-02-15</t>
  </si>
  <si>
    <t>PT10093</t>
  </si>
  <si>
    <t>2026-06-11</t>
  </si>
  <si>
    <t>Diagnosis-procedure combination flagged for manual review</t>
  </si>
  <si>
    <t>PT10094</t>
  </si>
  <si>
    <t>PT10095</t>
  </si>
  <si>
    <t>2025-01-30</t>
  </si>
  <si>
    <t>PT10096</t>
  </si>
  <si>
    <t>2025-04-27</t>
  </si>
  <si>
    <t>PT10097</t>
  </si>
  <si>
    <t>2026-03-02</t>
  </si>
  <si>
    <t>PT10098</t>
  </si>
  <si>
    <t>2025-10-10</t>
  </si>
  <si>
    <t>PT10099</t>
  </si>
  <si>
    <t>2025-11-02</t>
  </si>
  <si>
    <t>PT10100</t>
  </si>
  <si>
    <t>2025-12-07</t>
  </si>
  <si>
    <t>PT10101</t>
  </si>
  <si>
    <t>2025-08-28</t>
  </si>
  <si>
    <t>PT10102</t>
  </si>
  <si>
    <t>2025-06-05</t>
  </si>
  <si>
    <t>PT10103</t>
  </si>
  <si>
    <t>2026-06-23</t>
  </si>
  <si>
    <t>PT10104</t>
  </si>
  <si>
    <t>2025-12-13</t>
  </si>
  <si>
    <t>PT10105</t>
  </si>
  <si>
    <t>2025-02-06</t>
  </si>
  <si>
    <t>PT10106</t>
  </si>
  <si>
    <t>2025-04-11</t>
  </si>
  <si>
    <t>PT10107</t>
  </si>
  <si>
    <t>2025-11-29</t>
  </si>
  <si>
    <t>PT10108</t>
  </si>
  <si>
    <t>2025-06-24</t>
  </si>
  <si>
    <t>PT10109</t>
  </si>
  <si>
    <t>2026-04-18</t>
  </si>
  <si>
    <t>PT10110</t>
  </si>
  <si>
    <t>PT10111</t>
  </si>
  <si>
    <t>2026-05-10</t>
  </si>
  <si>
    <t>PT10112</t>
  </si>
  <si>
    <t>PT10113</t>
  </si>
  <si>
    <t>PT10114</t>
  </si>
  <si>
    <t>2025-11-13</t>
  </si>
  <si>
    <t>PT10115</t>
  </si>
  <si>
    <t>PT10116</t>
  </si>
  <si>
    <t>2026-05-09</t>
  </si>
  <si>
    <t>PT10117</t>
  </si>
  <si>
    <t>2026-02-11</t>
  </si>
  <si>
    <t>PT10118</t>
  </si>
  <si>
    <t>2026-04-11</t>
  </si>
  <si>
    <t>PT10119</t>
  </si>
  <si>
    <t>2026-04-28</t>
  </si>
  <si>
    <t>PT10120</t>
  </si>
  <si>
    <t>2025-11-06</t>
  </si>
  <si>
    <t>PT10121</t>
  </si>
  <si>
    <t>2025-08-29</t>
  </si>
  <si>
    <t>PT10122</t>
  </si>
  <si>
    <t>2025-04-12</t>
  </si>
  <si>
    <t>PT10123</t>
  </si>
  <si>
    <t>2026-04-01</t>
  </si>
  <si>
    <t>PT10124</t>
  </si>
  <si>
    <t>PT10125</t>
  </si>
  <si>
    <t>PT10126</t>
  </si>
  <si>
    <t>2025-08-27</t>
  </si>
  <si>
    <t>PT10127</t>
  </si>
  <si>
    <t>2025-06-28</t>
  </si>
  <si>
    <t>PT10128</t>
  </si>
  <si>
    <t>PT10129</t>
  </si>
  <si>
    <t>2026-04-08</t>
  </si>
  <si>
    <t>PT10130</t>
  </si>
  <si>
    <t>2025-03-04</t>
  </si>
  <si>
    <t>PT10131</t>
  </si>
  <si>
    <t>2025-11-26</t>
  </si>
  <si>
    <t>PT10132</t>
  </si>
  <si>
    <t>2026-04-10</t>
  </si>
  <si>
    <t>PT10133</t>
  </si>
  <si>
    <t>2025-08-22</t>
  </si>
  <si>
    <t>PT10134</t>
  </si>
  <si>
    <t>2025-09-19</t>
  </si>
  <si>
    <t>PT10135</t>
  </si>
  <si>
    <t>2025-04-09</t>
  </si>
  <si>
    <t>PT10136</t>
  </si>
  <si>
    <t>2025-12-29</t>
  </si>
  <si>
    <t>PT10137</t>
  </si>
  <si>
    <t>2025-11-16</t>
  </si>
  <si>
    <t>PT10138</t>
  </si>
  <si>
    <t>2026-01-12</t>
  </si>
  <si>
    <t>PT10139</t>
  </si>
  <si>
    <t>2025-07-04</t>
  </si>
  <si>
    <t>PT10140</t>
  </si>
  <si>
    <t>PT10141</t>
  </si>
  <si>
    <t>PT10142</t>
  </si>
  <si>
    <t>PT10143</t>
  </si>
  <si>
    <t>2026-03-01</t>
  </si>
  <si>
    <t>PT10144</t>
  </si>
  <si>
    <t>2026-06-24</t>
  </si>
  <si>
    <t>PT10145</t>
  </si>
  <si>
    <t>2025-08-05</t>
  </si>
  <si>
    <t>PT10146</t>
  </si>
  <si>
    <t>2025-06-29</t>
  </si>
  <si>
    <t>PT10147</t>
  </si>
  <si>
    <t>2025-02-13</t>
  </si>
  <si>
    <t>PT10148</t>
  </si>
  <si>
    <t>PT10149</t>
  </si>
  <si>
    <t>2026-03-24</t>
  </si>
  <si>
    <t>PT10150</t>
  </si>
  <si>
    <t>2025-12-08</t>
  </si>
  <si>
    <t>PT10151</t>
  </si>
  <si>
    <t>2025-06-01</t>
  </si>
  <si>
    <t>PT10152</t>
  </si>
  <si>
    <t>2026-04-21</t>
  </si>
  <si>
    <t>PT10153</t>
  </si>
  <si>
    <t>2026-03-27</t>
  </si>
  <si>
    <t>PT10154</t>
  </si>
  <si>
    <t>2025-11-14</t>
  </si>
  <si>
    <t>PT10155</t>
  </si>
  <si>
    <t>2026-04-19</t>
  </si>
  <si>
    <t>PT10156</t>
  </si>
  <si>
    <t>2026-05-29</t>
  </si>
  <si>
    <t>PT10157</t>
  </si>
  <si>
    <t>2025-09-11</t>
  </si>
  <si>
    <t>PT10158</t>
  </si>
  <si>
    <t>2026-02-01</t>
  </si>
  <si>
    <t>PT10159</t>
  </si>
  <si>
    <t>2025-04-07</t>
  </si>
  <si>
    <t>PT10160</t>
  </si>
  <si>
    <t>2026-02-06</t>
  </si>
  <si>
    <t>PT10161</t>
  </si>
  <si>
    <t>PT10162</t>
  </si>
  <si>
    <t>2025-12-16</t>
  </si>
  <si>
    <t>PT10163</t>
  </si>
  <si>
    <t>PT10164</t>
  </si>
  <si>
    <t>2025-06-16</t>
  </si>
  <si>
    <t>PT10165</t>
  </si>
  <si>
    <t>2026-01-09</t>
  </si>
  <si>
    <t>PT10166</t>
  </si>
  <si>
    <t>PT10167</t>
  </si>
  <si>
    <t>2026-01-27</t>
  </si>
  <si>
    <t>PT10168</t>
  </si>
  <si>
    <t>2026-05-08</t>
  </si>
  <si>
    <t>PT10169</t>
  </si>
  <si>
    <t>2025-06-14</t>
  </si>
  <si>
    <t>PT10170</t>
  </si>
  <si>
    <t>PT10171</t>
  </si>
  <si>
    <t>2025-11-23</t>
  </si>
  <si>
    <t>PT10172</t>
  </si>
  <si>
    <t>PT10173</t>
  </si>
  <si>
    <t>2025-06-03</t>
  </si>
  <si>
    <t>PT10174</t>
  </si>
  <si>
    <t>2025-02-18</t>
  </si>
  <si>
    <t>PT10175</t>
  </si>
  <si>
    <t>2025-10-26</t>
  </si>
  <si>
    <t>PT10176</t>
  </si>
  <si>
    <t>PT10177</t>
  </si>
  <si>
    <t>2025-09-17</t>
  </si>
  <si>
    <t>PT10178</t>
  </si>
  <si>
    <t>2025-02-15</t>
  </si>
  <si>
    <t>PT10179</t>
  </si>
  <si>
    <t>2025-05-19</t>
  </si>
  <si>
    <t>PT10180</t>
  </si>
  <si>
    <t>2025-02-12</t>
  </si>
  <si>
    <t>PT10181</t>
  </si>
  <si>
    <t>PT10182</t>
  </si>
  <si>
    <t>2025-12-14</t>
  </si>
  <si>
    <t>PT10183</t>
  </si>
  <si>
    <t>PT10184</t>
  </si>
  <si>
    <t>2025-10-30</t>
  </si>
  <si>
    <t>PT10185</t>
  </si>
  <si>
    <t>2025-12-28</t>
  </si>
  <si>
    <t>PT10186</t>
  </si>
  <si>
    <t>2025-02-01</t>
  </si>
  <si>
    <t>PT10187</t>
  </si>
  <si>
    <t>2026-01-06</t>
  </si>
  <si>
    <t>PT10188</t>
  </si>
  <si>
    <t>2025-03-20</t>
  </si>
  <si>
    <t>PT10189</t>
  </si>
  <si>
    <t>2025-07-10</t>
  </si>
  <si>
    <t>PT10190</t>
  </si>
  <si>
    <t>2026-05-18</t>
  </si>
  <si>
    <t>PT10191</t>
  </si>
  <si>
    <t>2025-12-22</t>
  </si>
  <si>
    <t>PT10192</t>
  </si>
  <si>
    <t>2025-08-18</t>
  </si>
  <si>
    <t>PT10193</t>
  </si>
  <si>
    <t>2026-04-24</t>
  </si>
  <si>
    <t>PT10194</t>
  </si>
  <si>
    <t>2026-05-06</t>
  </si>
  <si>
    <t>PT10195</t>
  </si>
  <si>
    <t>2026-04-23</t>
  </si>
  <si>
    <t>PT10196</t>
  </si>
  <si>
    <t>2026-05-30</t>
  </si>
  <si>
    <t>PT10197</t>
  </si>
  <si>
    <t>2025-12-21</t>
  </si>
  <si>
    <t>PT10198</t>
  </si>
  <si>
    <t>PT10199</t>
  </si>
  <si>
    <t>PT10200</t>
  </si>
  <si>
    <t>diagnosis_desc</t>
  </si>
  <si>
    <t>procedure_label</t>
  </si>
  <si>
    <t>procedure_category</t>
  </si>
  <si>
    <t>submitted_count</t>
  </si>
  <si>
    <t>denied_count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</si>
</sst>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0"/>
      <color rgb="FF595959"/>
      <name val="Calibri"/>
      <charset val="1"/>
    </font>
    <font>
      <b/>
      <sz val="10"/>
      <color rgb="FFFFFFFF"/>
      <name val="Calibri"/>
      <charset val="1"/>
    </font>
    <font>
      <b/>
      <sz val="12"/>
      <color rgb="FF1F3864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BF8F00"/>
      <name val="Calibri"/>
      <charset val="1"/>
    </font>
    <font>
      <b/>
      <sz val="10"/>
      <color rgb="FFC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Denial Rate % by Confidence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denial_rate_pct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NO_MATCH</c:v>
                </c:pt>
              </c:strCache>
            </c:strRef>
          </c:cat>
          <c:val>
            <c:numRef>
              <c:f>Dashboard!$D$10:$D$12</c:f>
              <c:numCache>
                <c:formatCode>General</c:formatCode>
                <c:ptCount val="3"/>
                <c:pt idx="0">
                  <c:v>4.5999999999999996</c:v>
                </c:pt>
                <c:pt idx="1">
                  <c:v>30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5-DB45-8CEE-AFFAC40D2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23282"/>
        <c:axId val="72463338"/>
      </c:barChart>
      <c:catAx>
        <c:axId val="23923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Confidence 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63338"/>
        <c:crosses val="autoZero"/>
        <c:auto val="1"/>
        <c:lblAlgn val="ctr"/>
        <c:lblOffset val="100"/>
        <c:noMultiLvlLbl val="0"/>
      </c:catAx>
      <c:valAx>
        <c:axId val="72463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Denial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23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Denial Rate % by Payer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Dashboard!$L$9</c:f>
              <c:strCache>
                <c:ptCount val="1"/>
                <c:pt idx="0">
                  <c:v>denial_rate_pct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Dashboard!$I$10:$I$16</c:f>
              <c:strCache>
                <c:ptCount val="7"/>
                <c:pt idx="0">
                  <c:v>Medicare</c:v>
                </c:pt>
                <c:pt idx="1">
                  <c:v>Cigna</c:v>
                </c:pt>
                <c:pt idx="2">
                  <c:v>UnitedHealthcare</c:v>
                </c:pt>
                <c:pt idx="3">
                  <c:v>Blue Cross Blue Shield</c:v>
                </c:pt>
                <c:pt idx="4">
                  <c:v>Aetna</c:v>
                </c:pt>
                <c:pt idx="5">
                  <c:v>Humana</c:v>
                </c:pt>
                <c:pt idx="6">
                  <c:v>Medicaid</c:v>
                </c:pt>
              </c:strCache>
            </c:strRef>
          </c:cat>
          <c:val>
            <c:numRef>
              <c:f>Dashboard!$L$10:$L$16</c:f>
              <c:numCache>
                <c:formatCode>General</c:formatCode>
                <c:ptCount val="7"/>
                <c:pt idx="0">
                  <c:v>42.3</c:v>
                </c:pt>
                <c:pt idx="1">
                  <c:v>34.5</c:v>
                </c:pt>
                <c:pt idx="2">
                  <c:v>33.299999999999997</c:v>
                </c:pt>
                <c:pt idx="3">
                  <c:v>26.7</c:v>
                </c:pt>
                <c:pt idx="4">
                  <c:v>25</c:v>
                </c:pt>
                <c:pt idx="5">
                  <c:v>16.2</c:v>
                </c:pt>
                <c:pt idx="6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8-0748-B578-360BB8020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50706"/>
        <c:axId val="82893469"/>
      </c:barChart>
      <c:catAx>
        <c:axId val="61250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93469"/>
        <c:crosses val="autoZero"/>
        <c:auto val="1"/>
        <c:lblAlgn val="ctr"/>
        <c:lblOffset val="100"/>
        <c:noMultiLvlLbl val="0"/>
      </c:catAx>
      <c:valAx>
        <c:axId val="82893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Denial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507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20</xdr:row>
      <xdr:rowOff>76200</xdr:rowOff>
    </xdr:from>
    <xdr:to>
      <xdr:col>6</xdr:col>
      <xdr:colOff>299880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101600</xdr:rowOff>
    </xdr:from>
    <xdr:to>
      <xdr:col>12</xdr:col>
      <xdr:colOff>105840</xdr:colOff>
      <xdr:row>36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Normal="100" workbookViewId="0">
      <pane ySplit="9" topLeftCell="A10" activePane="bottomLeft" state="frozen"/>
      <selection pane="bottomLeft" sqref="A1:H1"/>
    </sheetView>
  </sheetViews>
  <sheetFormatPr baseColWidth="10" defaultColWidth="8.6640625" defaultRowHeight="15" x14ac:dyDescent="0.2"/>
  <cols>
    <col min="1" max="1" width="22" customWidth="1"/>
    <col min="2" max="8" width="14" customWidth="1"/>
    <col min="9" max="9" width="26" customWidth="1"/>
    <col min="10" max="11" width="14" customWidth="1"/>
    <col min="12" max="12" width="16" customWidth="1"/>
  </cols>
  <sheetData>
    <row r="1" spans="1:12" ht="2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12" x14ac:dyDescent="0.2">
      <c r="A2" s="3" t="s">
        <v>1</v>
      </c>
      <c r="B2" s="3"/>
      <c r="C2" s="3"/>
      <c r="D2" s="3"/>
      <c r="E2" s="3"/>
      <c r="F2" s="3"/>
      <c r="G2" s="3"/>
      <c r="H2" s="3"/>
    </row>
    <row r="4" spans="1:12" x14ac:dyDescent="0.2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12" ht="21" x14ac:dyDescent="0.2">
      <c r="A5" s="1">
        <f>COUNTA('Claims (raw)'!$H$2:$H$201)</f>
        <v>200</v>
      </c>
      <c r="B5" s="1"/>
      <c r="C5" s="1" t="str">
        <f>TEXT(COUNTIF('Claims (raw)'!$H$2:$H$201,"DENIED")/COUNTA('Claims (raw)'!$H$2:$H$201),"0.0%")</f>
        <v>26.0%</v>
      </c>
      <c r="D5" s="1"/>
      <c r="E5" s="1" t="str">
        <f>TEXT(SUM('Claims (raw)'!$G$2:$G$201),"$#,##0")</f>
        <v>$4,22,043</v>
      </c>
      <c r="F5" s="1"/>
      <c r="G5" s="1" t="str">
        <f>TEXT(SUMIF('Claims (raw)'!$H$2:$H$201,"DENIED",'Claims (raw)'!$G$2:$G$201),"$#,##0")</f>
        <v>$1,24,552</v>
      </c>
      <c r="H5" s="1"/>
    </row>
    <row r="8" spans="1:12" ht="16" x14ac:dyDescent="0.2">
      <c r="A8" s="5" t="s">
        <v>6</v>
      </c>
      <c r="I8" s="5" t="s">
        <v>7</v>
      </c>
    </row>
    <row r="9" spans="1:12" ht="16" x14ac:dyDescent="0.2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I9" s="7" t="s">
        <v>14</v>
      </c>
      <c r="J9" s="7" t="s">
        <v>9</v>
      </c>
      <c r="K9" s="7" t="s">
        <v>10</v>
      </c>
      <c r="L9" s="7" t="s">
        <v>11</v>
      </c>
    </row>
    <row r="10" spans="1:12" x14ac:dyDescent="0.2">
      <c r="A10" s="8" t="s">
        <v>15</v>
      </c>
      <c r="B10" s="8">
        <v>109</v>
      </c>
      <c r="C10" s="8">
        <v>5</v>
      </c>
      <c r="D10" s="9">
        <v>4.5999999999999996</v>
      </c>
      <c r="E10" s="8">
        <v>225063.56</v>
      </c>
      <c r="F10" s="8">
        <v>7552.62</v>
      </c>
      <c r="I10" s="8" t="s">
        <v>16</v>
      </c>
      <c r="J10" s="8">
        <v>26</v>
      </c>
      <c r="K10" s="8">
        <v>11</v>
      </c>
      <c r="L10" s="8">
        <v>42.3</v>
      </c>
    </row>
    <row r="11" spans="1:12" x14ac:dyDescent="0.2">
      <c r="A11" s="8" t="s">
        <v>17</v>
      </c>
      <c r="B11" s="8">
        <v>50</v>
      </c>
      <c r="C11" s="8">
        <v>15</v>
      </c>
      <c r="D11" s="10">
        <v>30</v>
      </c>
      <c r="E11" s="8">
        <v>101157.35</v>
      </c>
      <c r="F11" s="8">
        <v>40870.44</v>
      </c>
      <c r="I11" s="8" t="s">
        <v>18</v>
      </c>
      <c r="J11" s="8">
        <v>29</v>
      </c>
      <c r="K11" s="8">
        <v>10</v>
      </c>
      <c r="L11" s="8">
        <v>34.5</v>
      </c>
    </row>
    <row r="12" spans="1:12" x14ac:dyDescent="0.2">
      <c r="A12" s="8" t="s">
        <v>19</v>
      </c>
      <c r="B12" s="8">
        <v>41</v>
      </c>
      <c r="C12" s="8">
        <v>32</v>
      </c>
      <c r="D12" s="11">
        <v>78</v>
      </c>
      <c r="E12" s="8">
        <v>95822.5</v>
      </c>
      <c r="F12" s="8">
        <v>76129.27</v>
      </c>
      <c r="I12" s="8" t="s">
        <v>20</v>
      </c>
      <c r="J12" s="8">
        <v>27</v>
      </c>
      <c r="K12" s="8">
        <v>9</v>
      </c>
      <c r="L12" s="8">
        <v>33.299999999999997</v>
      </c>
    </row>
    <row r="13" spans="1:12" x14ac:dyDescent="0.2">
      <c r="I13" s="8" t="s">
        <v>21</v>
      </c>
      <c r="J13" s="8">
        <v>30</v>
      </c>
      <c r="K13" s="8">
        <v>8</v>
      </c>
      <c r="L13" s="8">
        <v>26.7</v>
      </c>
    </row>
    <row r="14" spans="1:12" x14ac:dyDescent="0.2">
      <c r="I14" s="8" t="s">
        <v>22</v>
      </c>
      <c r="J14" s="8">
        <v>24</v>
      </c>
      <c r="K14" s="8">
        <v>6</v>
      </c>
      <c r="L14" s="8">
        <v>25</v>
      </c>
    </row>
    <row r="15" spans="1:12" x14ac:dyDescent="0.2">
      <c r="I15" s="8" t="s">
        <v>23</v>
      </c>
      <c r="J15" s="8">
        <v>37</v>
      </c>
      <c r="K15" s="8">
        <v>6</v>
      </c>
      <c r="L15" s="8">
        <v>16.2</v>
      </c>
    </row>
    <row r="16" spans="1:12" x14ac:dyDescent="0.2">
      <c r="I16" s="8" t="s">
        <v>24</v>
      </c>
      <c r="J16" s="8">
        <v>27</v>
      </c>
      <c r="K16" s="8">
        <v>2</v>
      </c>
      <c r="L16" s="8">
        <v>7.4</v>
      </c>
    </row>
  </sheetData>
  <mergeCells count="10">
    <mergeCell ref="A5:B5"/>
    <mergeCell ref="C5:D5"/>
    <mergeCell ref="E5:F5"/>
    <mergeCell ref="G5:H5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3" width="45" customWidth="1"/>
    <col min="4" max="4" width="18" customWidth="1"/>
  </cols>
  <sheetData>
    <row r="1" spans="1:4" ht="16" x14ac:dyDescent="0.2">
      <c r="A1" s="6" t="s">
        <v>25</v>
      </c>
      <c r="B1" s="6" t="s">
        <v>26</v>
      </c>
      <c r="C1" s="6" t="s">
        <v>27</v>
      </c>
      <c r="D1" s="6" t="s">
        <v>28</v>
      </c>
    </row>
    <row r="2" spans="1:4" x14ac:dyDescent="0.2">
      <c r="A2" s="8" t="s">
        <v>29</v>
      </c>
      <c r="B2" s="8" t="s">
        <v>30</v>
      </c>
      <c r="C2" s="8" t="s">
        <v>31</v>
      </c>
      <c r="D2" s="8" t="s">
        <v>32</v>
      </c>
    </row>
    <row r="3" spans="1:4" x14ac:dyDescent="0.2">
      <c r="A3" s="8" t="s">
        <v>33</v>
      </c>
      <c r="B3" s="8" t="s">
        <v>34</v>
      </c>
      <c r="C3" s="8" t="s">
        <v>31</v>
      </c>
      <c r="D3" s="8" t="s">
        <v>32</v>
      </c>
    </row>
    <row r="4" spans="1:4" x14ac:dyDescent="0.2">
      <c r="A4" s="8" t="s">
        <v>35</v>
      </c>
      <c r="B4" s="8" t="s">
        <v>36</v>
      </c>
      <c r="C4" s="8" t="s">
        <v>37</v>
      </c>
      <c r="D4" s="8" t="s">
        <v>38</v>
      </c>
    </row>
    <row r="5" spans="1:4" x14ac:dyDescent="0.2">
      <c r="A5" s="8" t="s">
        <v>39</v>
      </c>
      <c r="B5" s="8" t="s">
        <v>40</v>
      </c>
      <c r="C5" s="8" t="s">
        <v>37</v>
      </c>
      <c r="D5" s="8" t="s">
        <v>38</v>
      </c>
    </row>
    <row r="6" spans="1:4" x14ac:dyDescent="0.2">
      <c r="A6" s="8" t="s">
        <v>41</v>
      </c>
      <c r="B6" s="8" t="s">
        <v>42</v>
      </c>
      <c r="C6" s="8" t="s">
        <v>43</v>
      </c>
      <c r="D6" s="8" t="s">
        <v>44</v>
      </c>
    </row>
    <row r="7" spans="1:4" x14ac:dyDescent="0.2">
      <c r="A7" s="8" t="s">
        <v>45</v>
      </c>
      <c r="B7" s="8" t="s">
        <v>46</v>
      </c>
      <c r="C7" s="8" t="s">
        <v>43</v>
      </c>
      <c r="D7" s="8" t="s">
        <v>44</v>
      </c>
    </row>
    <row r="8" spans="1:4" x14ac:dyDescent="0.2">
      <c r="A8" s="8" t="s">
        <v>47</v>
      </c>
      <c r="B8" s="8" t="s">
        <v>48</v>
      </c>
      <c r="C8" s="8" t="s">
        <v>49</v>
      </c>
      <c r="D8" s="8" t="s">
        <v>50</v>
      </c>
    </row>
    <row r="9" spans="1:4" x14ac:dyDescent="0.2">
      <c r="A9" s="8" t="s">
        <v>51</v>
      </c>
      <c r="B9" s="8" t="s">
        <v>52</v>
      </c>
      <c r="C9" s="8" t="s">
        <v>53</v>
      </c>
      <c r="D9" s="8" t="s">
        <v>50</v>
      </c>
    </row>
    <row r="10" spans="1:4" x14ac:dyDescent="0.2">
      <c r="A10" s="8" t="s">
        <v>54</v>
      </c>
      <c r="B10" s="8" t="s">
        <v>55</v>
      </c>
      <c r="C10" s="8" t="s">
        <v>53</v>
      </c>
      <c r="D10" s="8" t="s">
        <v>50</v>
      </c>
    </row>
    <row r="11" spans="1:4" x14ac:dyDescent="0.2">
      <c r="A11" s="8" t="s">
        <v>56</v>
      </c>
      <c r="B11" s="8" t="s">
        <v>57</v>
      </c>
      <c r="C11" s="8" t="s">
        <v>58</v>
      </c>
      <c r="D11" s="8" t="s">
        <v>59</v>
      </c>
    </row>
    <row r="12" spans="1:4" x14ac:dyDescent="0.2">
      <c r="A12" s="8" t="s">
        <v>60</v>
      </c>
      <c r="B12" s="8" t="s">
        <v>61</v>
      </c>
      <c r="C12" s="8" t="s">
        <v>58</v>
      </c>
      <c r="D12" s="8" t="s">
        <v>59</v>
      </c>
    </row>
    <row r="13" spans="1:4" x14ac:dyDescent="0.2">
      <c r="A13" s="8" t="s">
        <v>62</v>
      </c>
      <c r="B13" s="8" t="s">
        <v>63</v>
      </c>
      <c r="C13" s="8" t="s">
        <v>64</v>
      </c>
      <c r="D13" s="8" t="s">
        <v>65</v>
      </c>
    </row>
    <row r="14" spans="1:4" x14ac:dyDescent="0.2">
      <c r="A14" s="8" t="s">
        <v>66</v>
      </c>
      <c r="B14" s="8" t="s">
        <v>67</v>
      </c>
      <c r="C14" s="8" t="s">
        <v>64</v>
      </c>
      <c r="D14" s="8" t="s">
        <v>65</v>
      </c>
    </row>
    <row r="15" spans="1:4" x14ac:dyDescent="0.2">
      <c r="A15" s="8" t="s">
        <v>68</v>
      </c>
      <c r="B15" s="8" t="s">
        <v>69</v>
      </c>
      <c r="C15" s="8" t="s">
        <v>70</v>
      </c>
      <c r="D15" s="8" t="s">
        <v>71</v>
      </c>
    </row>
    <row r="16" spans="1:4" x14ac:dyDescent="0.2">
      <c r="A16" s="8" t="s">
        <v>72</v>
      </c>
      <c r="B16" s="8" t="s">
        <v>73</v>
      </c>
      <c r="C16" s="8" t="s">
        <v>70</v>
      </c>
      <c r="D16" s="8" t="s">
        <v>71</v>
      </c>
    </row>
    <row r="17" spans="1:4" x14ac:dyDescent="0.2">
      <c r="A17" s="8" t="s">
        <v>74</v>
      </c>
      <c r="B17" s="8" t="s">
        <v>75</v>
      </c>
      <c r="C17" s="8" t="s">
        <v>76</v>
      </c>
      <c r="D17" s="8" t="s">
        <v>77</v>
      </c>
    </row>
    <row r="18" spans="1:4" x14ac:dyDescent="0.2">
      <c r="A18" s="8" t="s">
        <v>78</v>
      </c>
      <c r="B18" s="8" t="s">
        <v>79</v>
      </c>
      <c r="C18" s="8" t="s">
        <v>76</v>
      </c>
      <c r="D18" s="8" t="s">
        <v>77</v>
      </c>
    </row>
    <row r="19" spans="1:4" x14ac:dyDescent="0.2">
      <c r="A19" s="8" t="s">
        <v>80</v>
      </c>
      <c r="B19" s="8" t="s">
        <v>81</v>
      </c>
      <c r="C19" s="8" t="s">
        <v>82</v>
      </c>
      <c r="D19" s="8" t="s">
        <v>83</v>
      </c>
    </row>
    <row r="20" spans="1:4" x14ac:dyDescent="0.2">
      <c r="A20" s="8" t="s">
        <v>84</v>
      </c>
      <c r="B20" s="8" t="s">
        <v>85</v>
      </c>
      <c r="C20" s="8" t="s">
        <v>82</v>
      </c>
      <c r="D20" s="8" t="s">
        <v>83</v>
      </c>
    </row>
    <row r="21" spans="1:4" x14ac:dyDescent="0.2">
      <c r="A21" s="8" t="s">
        <v>86</v>
      </c>
      <c r="B21" s="8" t="s">
        <v>87</v>
      </c>
      <c r="C21" s="8" t="s">
        <v>88</v>
      </c>
      <c r="D21" s="8" t="s">
        <v>89</v>
      </c>
    </row>
    <row r="22" spans="1:4" x14ac:dyDescent="0.2">
      <c r="A22" s="8" t="s">
        <v>90</v>
      </c>
      <c r="B22" s="8" t="s">
        <v>91</v>
      </c>
      <c r="C22" s="8" t="s">
        <v>88</v>
      </c>
      <c r="D22" s="8" t="s">
        <v>89</v>
      </c>
    </row>
    <row r="23" spans="1:4" x14ac:dyDescent="0.2">
      <c r="A23" s="8" t="s">
        <v>92</v>
      </c>
      <c r="B23" s="8" t="s">
        <v>93</v>
      </c>
      <c r="C23" s="8" t="s">
        <v>94</v>
      </c>
      <c r="D23" s="8" t="s">
        <v>95</v>
      </c>
    </row>
    <row r="24" spans="1:4" x14ac:dyDescent="0.2">
      <c r="A24" s="8" t="s">
        <v>96</v>
      </c>
      <c r="B24" s="8" t="s">
        <v>97</v>
      </c>
      <c r="C24" s="8" t="s">
        <v>94</v>
      </c>
      <c r="D24" s="8" t="s">
        <v>95</v>
      </c>
    </row>
    <row r="25" spans="1:4" x14ac:dyDescent="0.2">
      <c r="A25" s="8" t="s">
        <v>98</v>
      </c>
      <c r="B25" s="8" t="s">
        <v>99</v>
      </c>
      <c r="C25" s="8" t="s">
        <v>100</v>
      </c>
      <c r="D25" s="8" t="s">
        <v>101</v>
      </c>
    </row>
    <row r="26" spans="1:4" x14ac:dyDescent="0.2">
      <c r="A26" s="8" t="s">
        <v>102</v>
      </c>
      <c r="B26" s="8" t="s">
        <v>103</v>
      </c>
      <c r="C26" s="8" t="s">
        <v>100</v>
      </c>
      <c r="D26" s="8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45" customWidth="1"/>
    <col min="4" max="4" width="19" customWidth="1"/>
  </cols>
  <sheetData>
    <row r="1" spans="1:4" ht="16" x14ac:dyDescent="0.2">
      <c r="A1" s="6" t="s">
        <v>104</v>
      </c>
      <c r="B1" s="6" t="s">
        <v>105</v>
      </c>
      <c r="C1" s="6" t="s">
        <v>106</v>
      </c>
      <c r="D1" s="6" t="s">
        <v>28</v>
      </c>
    </row>
    <row r="2" spans="1:4" x14ac:dyDescent="0.2">
      <c r="A2" s="8" t="s">
        <v>107</v>
      </c>
      <c r="B2" s="8" t="s">
        <v>108</v>
      </c>
      <c r="C2" s="8" t="s">
        <v>109</v>
      </c>
      <c r="D2" s="8" t="s">
        <v>110</v>
      </c>
    </row>
    <row r="3" spans="1:4" x14ac:dyDescent="0.2">
      <c r="A3" s="8" t="s">
        <v>111</v>
      </c>
      <c r="B3" s="8" t="s">
        <v>108</v>
      </c>
      <c r="C3" s="8" t="s">
        <v>112</v>
      </c>
      <c r="D3" s="8" t="s">
        <v>110</v>
      </c>
    </row>
    <row r="4" spans="1:4" x14ac:dyDescent="0.2">
      <c r="A4" s="8" t="s">
        <v>113</v>
      </c>
      <c r="B4" s="8" t="s">
        <v>108</v>
      </c>
      <c r="C4" s="8" t="s">
        <v>114</v>
      </c>
      <c r="D4" s="8" t="s">
        <v>110</v>
      </c>
    </row>
    <row r="5" spans="1:4" x14ac:dyDescent="0.2">
      <c r="A5" s="8" t="s">
        <v>115</v>
      </c>
      <c r="B5" s="8" t="s">
        <v>108</v>
      </c>
      <c r="C5" s="8" t="s">
        <v>116</v>
      </c>
      <c r="D5" s="8" t="s">
        <v>117</v>
      </c>
    </row>
    <row r="6" spans="1:4" x14ac:dyDescent="0.2">
      <c r="A6" s="8" t="s">
        <v>118</v>
      </c>
      <c r="B6" s="8" t="s">
        <v>108</v>
      </c>
      <c r="C6" s="8" t="s">
        <v>119</v>
      </c>
      <c r="D6" s="8" t="s">
        <v>117</v>
      </c>
    </row>
    <row r="7" spans="1:4" x14ac:dyDescent="0.2">
      <c r="A7" s="8" t="s">
        <v>120</v>
      </c>
      <c r="B7" s="8" t="s">
        <v>108</v>
      </c>
      <c r="C7" s="8" t="s">
        <v>121</v>
      </c>
      <c r="D7" s="8" t="s">
        <v>122</v>
      </c>
    </row>
    <row r="8" spans="1:4" x14ac:dyDescent="0.2">
      <c r="A8" s="8" t="s">
        <v>123</v>
      </c>
      <c r="B8" s="8" t="s">
        <v>108</v>
      </c>
      <c r="C8" s="8" t="s">
        <v>124</v>
      </c>
      <c r="D8" s="8" t="s">
        <v>122</v>
      </c>
    </row>
    <row r="9" spans="1:4" x14ac:dyDescent="0.2">
      <c r="A9" s="8" t="s">
        <v>125</v>
      </c>
      <c r="B9" s="8" t="s">
        <v>108</v>
      </c>
      <c r="C9" s="8" t="s">
        <v>126</v>
      </c>
      <c r="D9" s="8" t="s">
        <v>122</v>
      </c>
    </row>
    <row r="10" spans="1:4" x14ac:dyDescent="0.2">
      <c r="A10" s="8" t="s">
        <v>127</v>
      </c>
      <c r="B10" s="8" t="s">
        <v>108</v>
      </c>
      <c r="C10" s="8" t="s">
        <v>128</v>
      </c>
      <c r="D10" s="8" t="s">
        <v>129</v>
      </c>
    </row>
    <row r="11" spans="1:4" x14ac:dyDescent="0.2">
      <c r="A11" s="8" t="s">
        <v>130</v>
      </c>
      <c r="B11" s="8" t="s">
        <v>108</v>
      </c>
      <c r="C11" s="8" t="s">
        <v>131</v>
      </c>
      <c r="D11" s="8" t="s">
        <v>129</v>
      </c>
    </row>
    <row r="12" spans="1:4" x14ac:dyDescent="0.2">
      <c r="A12" s="8" t="s">
        <v>132</v>
      </c>
      <c r="B12" s="8" t="s">
        <v>108</v>
      </c>
      <c r="C12" s="8" t="s">
        <v>133</v>
      </c>
      <c r="D12" s="8" t="s">
        <v>129</v>
      </c>
    </row>
    <row r="13" spans="1:4" x14ac:dyDescent="0.2">
      <c r="A13" s="8" t="s">
        <v>134</v>
      </c>
      <c r="B13" s="8" t="s">
        <v>108</v>
      </c>
      <c r="C13" s="8" t="s">
        <v>135</v>
      </c>
      <c r="D13" s="8" t="s">
        <v>136</v>
      </c>
    </row>
    <row r="14" spans="1:4" x14ac:dyDescent="0.2">
      <c r="A14" s="8" t="s">
        <v>137</v>
      </c>
      <c r="B14" s="8" t="s">
        <v>108</v>
      </c>
      <c r="C14" s="8" t="s">
        <v>138</v>
      </c>
      <c r="D14" s="8" t="s">
        <v>136</v>
      </c>
    </row>
    <row r="15" spans="1:4" x14ac:dyDescent="0.2">
      <c r="A15" s="8" t="s">
        <v>139</v>
      </c>
      <c r="B15" s="8" t="s">
        <v>108</v>
      </c>
      <c r="C15" s="8" t="s">
        <v>140</v>
      </c>
      <c r="D15" s="8" t="s">
        <v>141</v>
      </c>
    </row>
    <row r="16" spans="1:4" x14ac:dyDescent="0.2">
      <c r="A16" s="8" t="s">
        <v>142</v>
      </c>
      <c r="B16" s="8" t="s">
        <v>108</v>
      </c>
      <c r="C16" s="8" t="s">
        <v>143</v>
      </c>
      <c r="D16" s="8" t="s">
        <v>141</v>
      </c>
    </row>
    <row r="17" spans="1:4" x14ac:dyDescent="0.2">
      <c r="A17" s="8" t="s">
        <v>144</v>
      </c>
      <c r="B17" s="8" t="s">
        <v>108</v>
      </c>
      <c r="C17" s="8" t="s">
        <v>145</v>
      </c>
      <c r="D17" s="8" t="s">
        <v>141</v>
      </c>
    </row>
    <row r="18" spans="1:4" x14ac:dyDescent="0.2">
      <c r="A18" s="8" t="s">
        <v>146</v>
      </c>
      <c r="B18" s="8" t="s">
        <v>108</v>
      </c>
      <c r="C18" s="8" t="s">
        <v>147</v>
      </c>
      <c r="D18" s="8" t="s">
        <v>65</v>
      </c>
    </row>
    <row r="19" spans="1:4" x14ac:dyDescent="0.2">
      <c r="A19" s="8" t="s">
        <v>148</v>
      </c>
      <c r="B19" s="8" t="s">
        <v>108</v>
      </c>
      <c r="C19" s="8" t="s">
        <v>149</v>
      </c>
      <c r="D19" s="8" t="s">
        <v>65</v>
      </c>
    </row>
    <row r="20" spans="1:4" x14ac:dyDescent="0.2">
      <c r="A20" s="8" t="s">
        <v>150</v>
      </c>
      <c r="B20" s="8" t="s">
        <v>108</v>
      </c>
      <c r="C20" s="8" t="s">
        <v>151</v>
      </c>
      <c r="D20" s="8" t="s">
        <v>59</v>
      </c>
    </row>
    <row r="21" spans="1:4" x14ac:dyDescent="0.2">
      <c r="A21" s="8" t="s">
        <v>152</v>
      </c>
      <c r="B21" s="8" t="s">
        <v>108</v>
      </c>
      <c r="C21" s="8" t="s">
        <v>153</v>
      </c>
      <c r="D21" s="8" t="s">
        <v>59</v>
      </c>
    </row>
    <row r="22" spans="1:4" x14ac:dyDescent="0.2">
      <c r="A22" s="8" t="s">
        <v>154</v>
      </c>
      <c r="B22" s="8" t="s">
        <v>108</v>
      </c>
      <c r="C22" s="8" t="s">
        <v>155</v>
      </c>
      <c r="D22" s="8" t="s">
        <v>141</v>
      </c>
    </row>
    <row r="23" spans="1:4" x14ac:dyDescent="0.2">
      <c r="A23" s="8" t="s">
        <v>156</v>
      </c>
      <c r="B23" s="8" t="s">
        <v>108</v>
      </c>
      <c r="C23" s="8" t="s">
        <v>157</v>
      </c>
      <c r="D23" s="8" t="s">
        <v>77</v>
      </c>
    </row>
    <row r="24" spans="1:4" x14ac:dyDescent="0.2">
      <c r="A24" s="8" t="s">
        <v>158</v>
      </c>
      <c r="B24" s="8" t="s">
        <v>108</v>
      </c>
      <c r="C24" s="8" t="s">
        <v>159</v>
      </c>
      <c r="D24" s="8" t="s">
        <v>160</v>
      </c>
    </row>
    <row r="25" spans="1:4" x14ac:dyDescent="0.2">
      <c r="A25" s="8" t="s">
        <v>161</v>
      </c>
      <c r="B25" s="8" t="s">
        <v>108</v>
      </c>
      <c r="C25" s="8" t="s">
        <v>162</v>
      </c>
      <c r="D25" s="8" t="s">
        <v>83</v>
      </c>
    </row>
    <row r="26" spans="1:4" x14ac:dyDescent="0.2">
      <c r="A26" s="8" t="s">
        <v>163</v>
      </c>
      <c r="B26" s="8" t="s">
        <v>108</v>
      </c>
      <c r="C26" s="8" t="s">
        <v>164</v>
      </c>
      <c r="D26" s="8" t="s">
        <v>95</v>
      </c>
    </row>
    <row r="27" spans="1:4" x14ac:dyDescent="0.2">
      <c r="A27" s="8" t="s">
        <v>165</v>
      </c>
      <c r="B27" s="8" t="s">
        <v>108</v>
      </c>
      <c r="C27" s="8" t="s">
        <v>166</v>
      </c>
      <c r="D27" s="8" t="s">
        <v>95</v>
      </c>
    </row>
    <row r="28" spans="1:4" x14ac:dyDescent="0.2">
      <c r="A28" s="8" t="s">
        <v>167</v>
      </c>
      <c r="B28" s="8" t="s">
        <v>108</v>
      </c>
      <c r="C28" s="8" t="s">
        <v>168</v>
      </c>
      <c r="D28" s="8" t="s">
        <v>89</v>
      </c>
    </row>
    <row r="29" spans="1:4" x14ac:dyDescent="0.2">
      <c r="A29" s="8" t="s">
        <v>169</v>
      </c>
      <c r="B29" s="8" t="s">
        <v>108</v>
      </c>
      <c r="C29" s="8" t="s">
        <v>170</v>
      </c>
      <c r="D29" s="8" t="s">
        <v>89</v>
      </c>
    </row>
    <row r="30" spans="1:4" x14ac:dyDescent="0.2">
      <c r="A30" s="8" t="s">
        <v>171</v>
      </c>
      <c r="B30" s="8" t="s">
        <v>172</v>
      </c>
      <c r="C30" s="8" t="s">
        <v>173</v>
      </c>
      <c r="D30" s="8" t="s">
        <v>174</v>
      </c>
    </row>
    <row r="31" spans="1:4" x14ac:dyDescent="0.2">
      <c r="A31" s="8" t="s">
        <v>175</v>
      </c>
      <c r="B31" s="8" t="s">
        <v>172</v>
      </c>
      <c r="C31" s="8" t="s">
        <v>176</v>
      </c>
      <c r="D31" s="8" t="s">
        <v>174</v>
      </c>
    </row>
    <row r="32" spans="1:4" x14ac:dyDescent="0.2">
      <c r="A32" s="8" t="s">
        <v>177</v>
      </c>
      <c r="B32" s="8" t="s">
        <v>172</v>
      </c>
      <c r="C32" s="8" t="s">
        <v>178</v>
      </c>
      <c r="D32" s="8" t="s">
        <v>179</v>
      </c>
    </row>
    <row r="33" spans="1:4" x14ac:dyDescent="0.2">
      <c r="A33" s="8" t="s">
        <v>180</v>
      </c>
      <c r="B33" s="8" t="s">
        <v>172</v>
      </c>
      <c r="C33" s="8" t="s">
        <v>181</v>
      </c>
      <c r="D33" s="8" t="s">
        <v>179</v>
      </c>
    </row>
    <row r="34" spans="1:4" x14ac:dyDescent="0.2">
      <c r="A34" s="8" t="s">
        <v>182</v>
      </c>
      <c r="B34" s="8" t="s">
        <v>172</v>
      </c>
      <c r="C34" s="8" t="s">
        <v>183</v>
      </c>
      <c r="D34" s="8" t="s">
        <v>184</v>
      </c>
    </row>
    <row r="35" spans="1:4" x14ac:dyDescent="0.2">
      <c r="A35" s="8" t="s">
        <v>185</v>
      </c>
      <c r="B35" s="8" t="s">
        <v>172</v>
      </c>
      <c r="C35" s="8" t="s">
        <v>186</v>
      </c>
      <c r="D35" s="8" t="s">
        <v>184</v>
      </c>
    </row>
    <row r="36" spans="1:4" x14ac:dyDescent="0.2">
      <c r="A36" s="8" t="s">
        <v>187</v>
      </c>
      <c r="B36" s="8" t="s">
        <v>172</v>
      </c>
      <c r="C36" s="8" t="s">
        <v>188</v>
      </c>
      <c r="D36" s="8" t="s">
        <v>189</v>
      </c>
    </row>
    <row r="37" spans="1:4" x14ac:dyDescent="0.2">
      <c r="A37" s="8" t="s">
        <v>190</v>
      </c>
      <c r="B37" s="8" t="s">
        <v>172</v>
      </c>
      <c r="C37" s="8" t="s">
        <v>191</v>
      </c>
      <c r="D37" s="8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19" customWidth="1"/>
    <col min="3" max="3" width="17" customWidth="1"/>
    <col min="4" max="4" width="45" customWidth="1"/>
  </cols>
  <sheetData>
    <row r="1" spans="1:4" ht="16" x14ac:dyDescent="0.2">
      <c r="A1" s="6" t="s">
        <v>193</v>
      </c>
      <c r="B1" s="6" t="s">
        <v>194</v>
      </c>
      <c r="C1" s="6" t="s">
        <v>8</v>
      </c>
      <c r="D1" s="6" t="s">
        <v>195</v>
      </c>
    </row>
    <row r="2" spans="1:4" x14ac:dyDescent="0.2">
      <c r="A2" s="8" t="s">
        <v>32</v>
      </c>
      <c r="B2" s="8" t="s">
        <v>122</v>
      </c>
      <c r="C2" s="8" t="s">
        <v>15</v>
      </c>
      <c r="D2" s="8" t="s">
        <v>196</v>
      </c>
    </row>
    <row r="3" spans="1:4" x14ac:dyDescent="0.2">
      <c r="A3" s="8" t="s">
        <v>32</v>
      </c>
      <c r="B3" s="8" t="s">
        <v>184</v>
      </c>
      <c r="C3" s="8" t="s">
        <v>15</v>
      </c>
      <c r="D3" s="8" t="s">
        <v>197</v>
      </c>
    </row>
    <row r="4" spans="1:4" x14ac:dyDescent="0.2">
      <c r="A4" s="8" t="s">
        <v>32</v>
      </c>
      <c r="B4" s="8" t="s">
        <v>110</v>
      </c>
      <c r="C4" s="8" t="s">
        <v>15</v>
      </c>
      <c r="D4" s="8" t="s">
        <v>198</v>
      </c>
    </row>
    <row r="5" spans="1:4" x14ac:dyDescent="0.2">
      <c r="A5" s="8" t="s">
        <v>38</v>
      </c>
      <c r="B5" s="8" t="s">
        <v>136</v>
      </c>
      <c r="C5" s="8" t="s">
        <v>15</v>
      </c>
      <c r="D5" s="8" t="s">
        <v>199</v>
      </c>
    </row>
    <row r="6" spans="1:4" x14ac:dyDescent="0.2">
      <c r="A6" s="8" t="s">
        <v>38</v>
      </c>
      <c r="B6" s="8" t="s">
        <v>110</v>
      </c>
      <c r="C6" s="8" t="s">
        <v>15</v>
      </c>
      <c r="D6" s="8" t="s">
        <v>200</v>
      </c>
    </row>
    <row r="7" spans="1:4" x14ac:dyDescent="0.2">
      <c r="A7" s="8" t="s">
        <v>38</v>
      </c>
      <c r="B7" s="8" t="s">
        <v>129</v>
      </c>
      <c r="C7" s="8" t="s">
        <v>17</v>
      </c>
      <c r="D7" s="8" t="s">
        <v>201</v>
      </c>
    </row>
    <row r="8" spans="1:4" x14ac:dyDescent="0.2">
      <c r="A8" s="8" t="s">
        <v>44</v>
      </c>
      <c r="B8" s="8" t="s">
        <v>129</v>
      </c>
      <c r="C8" s="8" t="s">
        <v>15</v>
      </c>
      <c r="D8" s="8" t="s">
        <v>202</v>
      </c>
    </row>
    <row r="9" spans="1:4" x14ac:dyDescent="0.2">
      <c r="A9" s="8" t="s">
        <v>44</v>
      </c>
      <c r="B9" s="8" t="s">
        <v>110</v>
      </c>
      <c r="C9" s="8" t="s">
        <v>15</v>
      </c>
      <c r="D9" s="8" t="s">
        <v>203</v>
      </c>
    </row>
    <row r="10" spans="1:4" x14ac:dyDescent="0.2">
      <c r="A10" s="8" t="s">
        <v>50</v>
      </c>
      <c r="B10" s="8" t="s">
        <v>129</v>
      </c>
      <c r="C10" s="8" t="s">
        <v>15</v>
      </c>
      <c r="D10" s="8" t="s">
        <v>204</v>
      </c>
    </row>
    <row r="11" spans="1:4" x14ac:dyDescent="0.2">
      <c r="A11" s="8" t="s">
        <v>50</v>
      </c>
      <c r="B11" s="8" t="s">
        <v>141</v>
      </c>
      <c r="C11" s="8" t="s">
        <v>17</v>
      </c>
      <c r="D11" s="8" t="s">
        <v>205</v>
      </c>
    </row>
    <row r="12" spans="1:4" x14ac:dyDescent="0.2">
      <c r="A12" s="8" t="s">
        <v>50</v>
      </c>
      <c r="B12" s="8" t="s">
        <v>192</v>
      </c>
      <c r="C12" s="8" t="s">
        <v>15</v>
      </c>
      <c r="D12" s="8" t="s">
        <v>206</v>
      </c>
    </row>
    <row r="13" spans="1:4" x14ac:dyDescent="0.2">
      <c r="A13" s="8" t="s">
        <v>50</v>
      </c>
      <c r="B13" s="8" t="s">
        <v>179</v>
      </c>
      <c r="C13" s="8" t="s">
        <v>17</v>
      </c>
      <c r="D13" s="8" t="s">
        <v>207</v>
      </c>
    </row>
    <row r="14" spans="1:4" x14ac:dyDescent="0.2">
      <c r="A14" s="8" t="s">
        <v>59</v>
      </c>
      <c r="B14" s="8" t="s">
        <v>59</v>
      </c>
      <c r="C14" s="8" t="s">
        <v>15</v>
      </c>
      <c r="D14" s="8" t="s">
        <v>208</v>
      </c>
    </row>
    <row r="15" spans="1:4" x14ac:dyDescent="0.2">
      <c r="A15" s="8" t="s">
        <v>65</v>
      </c>
      <c r="B15" s="8" t="s">
        <v>65</v>
      </c>
      <c r="C15" s="8" t="s">
        <v>15</v>
      </c>
      <c r="D15" s="8" t="s">
        <v>209</v>
      </c>
    </row>
    <row r="16" spans="1:4" x14ac:dyDescent="0.2">
      <c r="A16" s="8" t="s">
        <v>65</v>
      </c>
      <c r="B16" s="8" t="s">
        <v>129</v>
      </c>
      <c r="C16" s="8" t="s">
        <v>17</v>
      </c>
      <c r="D16" s="8" t="s">
        <v>210</v>
      </c>
    </row>
    <row r="17" spans="1:4" x14ac:dyDescent="0.2">
      <c r="A17" s="8" t="s">
        <v>71</v>
      </c>
      <c r="B17" s="8" t="s">
        <v>122</v>
      </c>
      <c r="C17" s="8" t="s">
        <v>15</v>
      </c>
      <c r="D17" s="8" t="s">
        <v>211</v>
      </c>
    </row>
    <row r="18" spans="1:4" x14ac:dyDescent="0.2">
      <c r="A18" s="8" t="s">
        <v>71</v>
      </c>
      <c r="B18" s="8" t="s">
        <v>174</v>
      </c>
      <c r="C18" s="8" t="s">
        <v>17</v>
      </c>
      <c r="D18" s="8" t="s">
        <v>212</v>
      </c>
    </row>
    <row r="19" spans="1:4" x14ac:dyDescent="0.2">
      <c r="A19" s="8" t="s">
        <v>77</v>
      </c>
      <c r="B19" s="8" t="s">
        <v>77</v>
      </c>
      <c r="C19" s="8" t="s">
        <v>15</v>
      </c>
      <c r="D19" s="8" t="s">
        <v>213</v>
      </c>
    </row>
    <row r="20" spans="1:4" x14ac:dyDescent="0.2">
      <c r="A20" s="8" t="s">
        <v>77</v>
      </c>
      <c r="B20" s="8" t="s">
        <v>141</v>
      </c>
      <c r="C20" s="8" t="s">
        <v>17</v>
      </c>
      <c r="D20" s="8" t="s">
        <v>214</v>
      </c>
    </row>
    <row r="21" spans="1:4" x14ac:dyDescent="0.2">
      <c r="A21" s="8" t="s">
        <v>83</v>
      </c>
      <c r="B21" s="8" t="s">
        <v>83</v>
      </c>
      <c r="C21" s="8" t="s">
        <v>15</v>
      </c>
      <c r="D21" s="8" t="s">
        <v>215</v>
      </c>
    </row>
    <row r="22" spans="1:4" x14ac:dyDescent="0.2">
      <c r="A22" s="8" t="s">
        <v>83</v>
      </c>
      <c r="B22" s="8" t="s">
        <v>160</v>
      </c>
      <c r="C22" s="8" t="s">
        <v>15</v>
      </c>
      <c r="D22" s="8" t="s">
        <v>216</v>
      </c>
    </row>
    <row r="23" spans="1:4" x14ac:dyDescent="0.2">
      <c r="A23" s="8" t="s">
        <v>89</v>
      </c>
      <c r="B23" s="8" t="s">
        <v>89</v>
      </c>
      <c r="C23" s="8" t="s">
        <v>15</v>
      </c>
      <c r="D23" s="8" t="s">
        <v>217</v>
      </c>
    </row>
    <row r="24" spans="1:4" x14ac:dyDescent="0.2">
      <c r="A24" s="8" t="s">
        <v>95</v>
      </c>
      <c r="B24" s="8" t="s">
        <v>95</v>
      </c>
      <c r="C24" s="8" t="s">
        <v>15</v>
      </c>
      <c r="D24" s="8" t="s">
        <v>218</v>
      </c>
    </row>
    <row r="25" spans="1:4" x14ac:dyDescent="0.2">
      <c r="A25" s="8" t="s">
        <v>101</v>
      </c>
      <c r="B25" s="8" t="s">
        <v>129</v>
      </c>
      <c r="C25" s="8" t="s">
        <v>17</v>
      </c>
      <c r="D25" s="8" t="s">
        <v>219</v>
      </c>
    </row>
    <row r="26" spans="1:4" x14ac:dyDescent="0.2">
      <c r="A26" s="8" t="s">
        <v>101</v>
      </c>
      <c r="B26" s="8" t="s">
        <v>117</v>
      </c>
      <c r="C26" s="8" t="s">
        <v>17</v>
      </c>
      <c r="D26" s="8" t="s">
        <v>220</v>
      </c>
    </row>
    <row r="27" spans="1:4" x14ac:dyDescent="0.2">
      <c r="A27" s="8" t="s">
        <v>101</v>
      </c>
      <c r="B27" s="8" t="s">
        <v>136</v>
      </c>
      <c r="C27" s="8" t="s">
        <v>221</v>
      </c>
      <c r="D27" s="8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1"/>
  <sheetViews>
    <sheetView zoomScaleNormal="100" workbookViewId="0">
      <pane ySplit="1" topLeftCell="A113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24" customWidth="1"/>
    <col min="4" max="4" width="14" customWidth="1"/>
    <col min="5" max="5" width="12" customWidth="1"/>
    <col min="6" max="6" width="11" customWidth="1"/>
    <col min="7" max="7" width="15" customWidth="1"/>
    <col min="8" max="8" width="14" customWidth="1"/>
    <col min="9" max="9" width="45" customWidth="1"/>
  </cols>
  <sheetData>
    <row r="1" spans="1:9" ht="16" x14ac:dyDescent="0.2">
      <c r="A1" s="6" t="s">
        <v>223</v>
      </c>
      <c r="B1" s="6" t="s">
        <v>224</v>
      </c>
      <c r="C1" s="6" t="s">
        <v>14</v>
      </c>
      <c r="D1" s="6" t="s">
        <v>225</v>
      </c>
      <c r="E1" s="6" t="s">
        <v>25</v>
      </c>
      <c r="F1" s="6" t="s">
        <v>104</v>
      </c>
      <c r="G1" s="6" t="s">
        <v>226</v>
      </c>
      <c r="H1" s="6" t="s">
        <v>227</v>
      </c>
      <c r="I1" s="6" t="s">
        <v>228</v>
      </c>
    </row>
    <row r="2" spans="1:9" x14ac:dyDescent="0.2">
      <c r="A2" s="8">
        <v>1</v>
      </c>
      <c r="B2" s="8" t="s">
        <v>229</v>
      </c>
      <c r="C2" s="8" t="s">
        <v>24</v>
      </c>
      <c r="D2" s="8" t="s">
        <v>230</v>
      </c>
      <c r="E2" s="8" t="s">
        <v>33</v>
      </c>
      <c r="F2" s="8" t="s">
        <v>107</v>
      </c>
      <c r="G2" s="8">
        <v>497.79</v>
      </c>
      <c r="H2" s="8" t="s">
        <v>231</v>
      </c>
      <c r="I2" s="8"/>
    </row>
    <row r="3" spans="1:9" x14ac:dyDescent="0.2">
      <c r="A3" s="8">
        <v>2</v>
      </c>
      <c r="B3" s="8" t="s">
        <v>232</v>
      </c>
      <c r="C3" s="8" t="s">
        <v>20</v>
      </c>
      <c r="D3" s="8" t="s">
        <v>233</v>
      </c>
      <c r="E3" s="8" t="s">
        <v>90</v>
      </c>
      <c r="F3" s="8" t="s">
        <v>167</v>
      </c>
      <c r="G3" s="8">
        <v>1034.73</v>
      </c>
      <c r="H3" s="8" t="s">
        <v>231</v>
      </c>
      <c r="I3" s="8"/>
    </row>
    <row r="4" spans="1:9" x14ac:dyDescent="0.2">
      <c r="A4" s="8">
        <v>3</v>
      </c>
      <c r="B4" s="8" t="s">
        <v>234</v>
      </c>
      <c r="C4" s="8" t="s">
        <v>23</v>
      </c>
      <c r="D4" s="8" t="s">
        <v>235</v>
      </c>
      <c r="E4" s="8" t="s">
        <v>102</v>
      </c>
      <c r="F4" s="8" t="s">
        <v>118</v>
      </c>
      <c r="G4" s="8">
        <v>3660.86</v>
      </c>
      <c r="H4" s="8" t="s">
        <v>236</v>
      </c>
      <c r="I4" s="8" t="s">
        <v>237</v>
      </c>
    </row>
    <row r="5" spans="1:9" x14ac:dyDescent="0.2">
      <c r="A5" s="8">
        <v>4</v>
      </c>
      <c r="B5" s="8" t="s">
        <v>238</v>
      </c>
      <c r="C5" s="8" t="s">
        <v>23</v>
      </c>
      <c r="D5" s="8" t="s">
        <v>239</v>
      </c>
      <c r="E5" s="8" t="s">
        <v>72</v>
      </c>
      <c r="F5" s="8" t="s">
        <v>158</v>
      </c>
      <c r="G5" s="8">
        <v>1463.45</v>
      </c>
      <c r="H5" s="8" t="s">
        <v>231</v>
      </c>
      <c r="I5" s="8"/>
    </row>
    <row r="6" spans="1:9" x14ac:dyDescent="0.2">
      <c r="A6" s="8">
        <v>5</v>
      </c>
      <c r="B6" s="8" t="s">
        <v>240</v>
      </c>
      <c r="C6" s="8" t="s">
        <v>21</v>
      </c>
      <c r="D6" s="8" t="s">
        <v>241</v>
      </c>
      <c r="E6" s="8" t="s">
        <v>66</v>
      </c>
      <c r="F6" s="8" t="s">
        <v>118</v>
      </c>
      <c r="G6" s="8">
        <v>400.05</v>
      </c>
      <c r="H6" s="8" t="s">
        <v>236</v>
      </c>
      <c r="I6" s="8" t="s">
        <v>237</v>
      </c>
    </row>
    <row r="7" spans="1:9" x14ac:dyDescent="0.2">
      <c r="A7" s="8">
        <v>6</v>
      </c>
      <c r="B7" s="8" t="s">
        <v>242</v>
      </c>
      <c r="C7" s="8" t="s">
        <v>22</v>
      </c>
      <c r="D7" s="8" t="s">
        <v>243</v>
      </c>
      <c r="E7" s="8" t="s">
        <v>98</v>
      </c>
      <c r="F7" s="8" t="s">
        <v>115</v>
      </c>
      <c r="G7" s="8">
        <v>3603.19</v>
      </c>
      <c r="H7" s="8" t="s">
        <v>236</v>
      </c>
      <c r="I7" s="8" t="s">
        <v>237</v>
      </c>
    </row>
    <row r="8" spans="1:9" x14ac:dyDescent="0.2">
      <c r="A8" s="8">
        <v>7</v>
      </c>
      <c r="B8" s="8" t="s">
        <v>244</v>
      </c>
      <c r="C8" s="8" t="s">
        <v>20</v>
      </c>
      <c r="D8" s="8" t="s">
        <v>245</v>
      </c>
      <c r="E8" s="8" t="s">
        <v>78</v>
      </c>
      <c r="F8" s="8" t="s">
        <v>144</v>
      </c>
      <c r="G8" s="8">
        <v>2839.47</v>
      </c>
      <c r="H8" s="8" t="s">
        <v>236</v>
      </c>
      <c r="I8" s="8" t="s">
        <v>237</v>
      </c>
    </row>
    <row r="9" spans="1:9" x14ac:dyDescent="0.2">
      <c r="A9" s="8">
        <v>8</v>
      </c>
      <c r="B9" s="8" t="s">
        <v>246</v>
      </c>
      <c r="C9" s="8" t="s">
        <v>21</v>
      </c>
      <c r="D9" s="8" t="s">
        <v>247</v>
      </c>
      <c r="E9" s="8" t="s">
        <v>35</v>
      </c>
      <c r="F9" s="8" t="s">
        <v>134</v>
      </c>
      <c r="G9" s="8">
        <v>1640.25</v>
      </c>
      <c r="H9" s="8" t="s">
        <v>248</v>
      </c>
      <c r="I9" s="8"/>
    </row>
    <row r="10" spans="1:9" x14ac:dyDescent="0.2">
      <c r="A10" s="8">
        <v>9</v>
      </c>
      <c r="B10" s="8" t="s">
        <v>249</v>
      </c>
      <c r="C10" s="8" t="s">
        <v>23</v>
      </c>
      <c r="D10" s="8" t="s">
        <v>250</v>
      </c>
      <c r="E10" s="8" t="s">
        <v>80</v>
      </c>
      <c r="F10" s="8" t="s">
        <v>161</v>
      </c>
      <c r="G10" s="8">
        <v>207.41</v>
      </c>
      <c r="H10" s="8" t="s">
        <v>231</v>
      </c>
      <c r="I10" s="8"/>
    </row>
    <row r="11" spans="1:9" x14ac:dyDescent="0.2">
      <c r="A11" s="8">
        <v>10</v>
      </c>
      <c r="B11" s="8" t="s">
        <v>251</v>
      </c>
      <c r="C11" s="8" t="s">
        <v>21</v>
      </c>
      <c r="D11" s="8" t="s">
        <v>252</v>
      </c>
      <c r="E11" s="8" t="s">
        <v>54</v>
      </c>
      <c r="F11" s="8" t="s">
        <v>177</v>
      </c>
      <c r="G11" s="8">
        <v>3724.32</v>
      </c>
      <c r="H11" s="8" t="s">
        <v>231</v>
      </c>
      <c r="I11" s="8"/>
    </row>
    <row r="12" spans="1:9" x14ac:dyDescent="0.2">
      <c r="A12" s="8">
        <v>11</v>
      </c>
      <c r="B12" s="8" t="s">
        <v>253</v>
      </c>
      <c r="C12" s="8" t="s">
        <v>18</v>
      </c>
      <c r="D12" s="8" t="s">
        <v>254</v>
      </c>
      <c r="E12" s="8" t="s">
        <v>41</v>
      </c>
      <c r="F12" s="8" t="s">
        <v>161</v>
      </c>
      <c r="G12" s="8">
        <v>979.7</v>
      </c>
      <c r="H12" s="8" t="s">
        <v>248</v>
      </c>
      <c r="I12" s="8"/>
    </row>
    <row r="13" spans="1:9" x14ac:dyDescent="0.2">
      <c r="A13" s="8">
        <v>12</v>
      </c>
      <c r="B13" s="8" t="s">
        <v>255</v>
      </c>
      <c r="C13" s="8" t="s">
        <v>23</v>
      </c>
      <c r="D13" s="8" t="s">
        <v>256</v>
      </c>
      <c r="E13" s="8" t="s">
        <v>35</v>
      </c>
      <c r="F13" s="8" t="s">
        <v>107</v>
      </c>
      <c r="G13" s="8">
        <v>2881.99</v>
      </c>
      <c r="H13" s="8" t="s">
        <v>231</v>
      </c>
      <c r="I13" s="8"/>
    </row>
    <row r="14" spans="1:9" x14ac:dyDescent="0.2">
      <c r="A14" s="8">
        <v>13</v>
      </c>
      <c r="B14" s="8" t="s">
        <v>257</v>
      </c>
      <c r="C14" s="8" t="s">
        <v>24</v>
      </c>
      <c r="D14" s="8" t="s">
        <v>258</v>
      </c>
      <c r="E14" s="8" t="s">
        <v>90</v>
      </c>
      <c r="F14" s="8" t="s">
        <v>167</v>
      </c>
      <c r="G14" s="8">
        <v>3724.75</v>
      </c>
      <c r="H14" s="8" t="s">
        <v>231</v>
      </c>
      <c r="I14" s="8"/>
    </row>
    <row r="15" spans="1:9" x14ac:dyDescent="0.2">
      <c r="A15" s="8">
        <v>14</v>
      </c>
      <c r="B15" s="8" t="s">
        <v>259</v>
      </c>
      <c r="C15" s="8" t="s">
        <v>21</v>
      </c>
      <c r="D15" s="8" t="s">
        <v>260</v>
      </c>
      <c r="E15" s="8" t="s">
        <v>62</v>
      </c>
      <c r="F15" s="8" t="s">
        <v>148</v>
      </c>
      <c r="G15" s="8">
        <v>88.39</v>
      </c>
      <c r="H15" s="8" t="s">
        <v>231</v>
      </c>
      <c r="I15" s="8"/>
    </row>
    <row r="16" spans="1:9" x14ac:dyDescent="0.2">
      <c r="A16" s="8">
        <v>15</v>
      </c>
      <c r="B16" s="8" t="s">
        <v>261</v>
      </c>
      <c r="C16" s="8" t="s">
        <v>16</v>
      </c>
      <c r="D16" s="8" t="s">
        <v>262</v>
      </c>
      <c r="E16" s="8" t="s">
        <v>80</v>
      </c>
      <c r="F16" s="8" t="s">
        <v>158</v>
      </c>
      <c r="G16" s="8">
        <v>895.51</v>
      </c>
      <c r="H16" s="8" t="s">
        <v>231</v>
      </c>
      <c r="I16" s="8"/>
    </row>
    <row r="17" spans="1:9" x14ac:dyDescent="0.2">
      <c r="A17" s="8">
        <v>16</v>
      </c>
      <c r="B17" s="8" t="s">
        <v>263</v>
      </c>
      <c r="C17" s="8" t="s">
        <v>22</v>
      </c>
      <c r="D17" s="8" t="s">
        <v>264</v>
      </c>
      <c r="E17" s="8" t="s">
        <v>80</v>
      </c>
      <c r="F17" s="8" t="s">
        <v>169</v>
      </c>
      <c r="G17" s="8">
        <v>3907.53</v>
      </c>
      <c r="H17" s="8" t="s">
        <v>248</v>
      </c>
      <c r="I17" s="8"/>
    </row>
    <row r="18" spans="1:9" x14ac:dyDescent="0.2">
      <c r="A18" s="8">
        <v>17</v>
      </c>
      <c r="B18" s="8" t="s">
        <v>265</v>
      </c>
      <c r="C18" s="8" t="s">
        <v>22</v>
      </c>
      <c r="D18" s="8" t="s">
        <v>266</v>
      </c>
      <c r="E18" s="8" t="s">
        <v>56</v>
      </c>
      <c r="F18" s="8" t="s">
        <v>150</v>
      </c>
      <c r="G18" s="8">
        <v>3094.12</v>
      </c>
      <c r="H18" s="8" t="s">
        <v>231</v>
      </c>
      <c r="I18" s="8"/>
    </row>
    <row r="19" spans="1:9" x14ac:dyDescent="0.2">
      <c r="A19" s="8">
        <v>18</v>
      </c>
      <c r="B19" s="8" t="s">
        <v>267</v>
      </c>
      <c r="C19" s="8" t="s">
        <v>18</v>
      </c>
      <c r="D19" s="8" t="s">
        <v>268</v>
      </c>
      <c r="E19" s="8" t="s">
        <v>80</v>
      </c>
      <c r="F19" s="8" t="s">
        <v>158</v>
      </c>
      <c r="G19" s="8">
        <v>2251.65</v>
      </c>
      <c r="H19" s="8" t="s">
        <v>231</v>
      </c>
      <c r="I19" s="8"/>
    </row>
    <row r="20" spans="1:9" x14ac:dyDescent="0.2">
      <c r="A20" s="8">
        <v>19</v>
      </c>
      <c r="B20" s="8" t="s">
        <v>269</v>
      </c>
      <c r="C20" s="8" t="s">
        <v>21</v>
      </c>
      <c r="D20" s="8" t="s">
        <v>270</v>
      </c>
      <c r="E20" s="8" t="s">
        <v>80</v>
      </c>
      <c r="F20" s="8" t="s">
        <v>161</v>
      </c>
      <c r="G20" s="8">
        <v>3785.91</v>
      </c>
      <c r="H20" s="8" t="s">
        <v>231</v>
      </c>
      <c r="I20" s="8"/>
    </row>
    <row r="21" spans="1:9" x14ac:dyDescent="0.2">
      <c r="A21" s="8">
        <v>20</v>
      </c>
      <c r="B21" s="8" t="s">
        <v>271</v>
      </c>
      <c r="C21" s="8" t="s">
        <v>16</v>
      </c>
      <c r="D21" s="8" t="s">
        <v>272</v>
      </c>
      <c r="E21" s="8" t="s">
        <v>39</v>
      </c>
      <c r="F21" s="8" t="s">
        <v>113</v>
      </c>
      <c r="G21" s="8">
        <v>983.4</v>
      </c>
      <c r="H21" s="8" t="s">
        <v>231</v>
      </c>
      <c r="I21" s="8"/>
    </row>
    <row r="22" spans="1:9" x14ac:dyDescent="0.2">
      <c r="A22" s="8">
        <v>21</v>
      </c>
      <c r="B22" s="8" t="s">
        <v>273</v>
      </c>
      <c r="C22" s="8" t="s">
        <v>16</v>
      </c>
      <c r="D22" s="8" t="s">
        <v>274</v>
      </c>
      <c r="E22" s="8" t="s">
        <v>47</v>
      </c>
      <c r="F22" s="8" t="s">
        <v>130</v>
      </c>
      <c r="G22" s="8">
        <v>1056.77</v>
      </c>
      <c r="H22" s="8" t="s">
        <v>231</v>
      </c>
      <c r="I22" s="8"/>
    </row>
    <row r="23" spans="1:9" x14ac:dyDescent="0.2">
      <c r="A23" s="8">
        <v>22</v>
      </c>
      <c r="B23" s="8" t="s">
        <v>275</v>
      </c>
      <c r="C23" s="8" t="s">
        <v>20</v>
      </c>
      <c r="D23" s="8" t="s">
        <v>276</v>
      </c>
      <c r="E23" s="8" t="s">
        <v>45</v>
      </c>
      <c r="F23" s="8" t="s">
        <v>158</v>
      </c>
      <c r="G23" s="8">
        <v>464.09</v>
      </c>
      <c r="H23" s="8" t="s">
        <v>236</v>
      </c>
      <c r="I23" s="8" t="s">
        <v>237</v>
      </c>
    </row>
    <row r="24" spans="1:9" x14ac:dyDescent="0.2">
      <c r="A24" s="8">
        <v>23</v>
      </c>
      <c r="B24" s="8" t="s">
        <v>277</v>
      </c>
      <c r="C24" s="8" t="s">
        <v>24</v>
      </c>
      <c r="D24" s="8" t="s">
        <v>278</v>
      </c>
      <c r="E24" s="8" t="s">
        <v>74</v>
      </c>
      <c r="F24" s="8" t="s">
        <v>139</v>
      </c>
      <c r="G24" s="8">
        <v>1474.62</v>
      </c>
      <c r="H24" s="8" t="s">
        <v>236</v>
      </c>
      <c r="I24" s="8" t="s">
        <v>237</v>
      </c>
    </row>
    <row r="25" spans="1:9" x14ac:dyDescent="0.2">
      <c r="A25" s="8">
        <v>24</v>
      </c>
      <c r="B25" s="8" t="s">
        <v>279</v>
      </c>
      <c r="C25" s="8" t="s">
        <v>20</v>
      </c>
      <c r="D25" s="8" t="s">
        <v>280</v>
      </c>
      <c r="E25" s="8" t="s">
        <v>54</v>
      </c>
      <c r="F25" s="8" t="s">
        <v>190</v>
      </c>
      <c r="G25" s="8">
        <v>1224</v>
      </c>
      <c r="H25" s="8" t="s">
        <v>231</v>
      </c>
      <c r="I25" s="8"/>
    </row>
    <row r="26" spans="1:9" x14ac:dyDescent="0.2">
      <c r="A26" s="8">
        <v>25</v>
      </c>
      <c r="B26" s="8" t="s">
        <v>281</v>
      </c>
      <c r="C26" s="8" t="s">
        <v>23</v>
      </c>
      <c r="D26" s="8" t="s">
        <v>233</v>
      </c>
      <c r="E26" s="8" t="s">
        <v>74</v>
      </c>
      <c r="F26" s="8" t="s">
        <v>139</v>
      </c>
      <c r="G26" s="8">
        <v>3575.87</v>
      </c>
      <c r="H26" s="8" t="s">
        <v>231</v>
      </c>
      <c r="I26" s="8"/>
    </row>
    <row r="27" spans="1:9" x14ac:dyDescent="0.2">
      <c r="A27" s="8">
        <v>26</v>
      </c>
      <c r="B27" s="8" t="s">
        <v>282</v>
      </c>
      <c r="C27" s="8" t="s">
        <v>22</v>
      </c>
      <c r="D27" s="8" t="s">
        <v>283</v>
      </c>
      <c r="E27" s="8" t="s">
        <v>51</v>
      </c>
      <c r="F27" s="8" t="s">
        <v>127</v>
      </c>
      <c r="G27" s="8">
        <v>4139.3999999999996</v>
      </c>
      <c r="H27" s="8" t="s">
        <v>231</v>
      </c>
      <c r="I27" s="8"/>
    </row>
    <row r="28" spans="1:9" x14ac:dyDescent="0.2">
      <c r="A28" s="8">
        <v>27</v>
      </c>
      <c r="B28" s="8" t="s">
        <v>284</v>
      </c>
      <c r="C28" s="8" t="s">
        <v>20</v>
      </c>
      <c r="D28" s="8" t="s">
        <v>285</v>
      </c>
      <c r="E28" s="8" t="s">
        <v>78</v>
      </c>
      <c r="F28" s="8" t="s">
        <v>156</v>
      </c>
      <c r="G28" s="8">
        <v>1298.92</v>
      </c>
      <c r="H28" s="8" t="s">
        <v>248</v>
      </c>
      <c r="I28" s="8"/>
    </row>
    <row r="29" spans="1:9" x14ac:dyDescent="0.2">
      <c r="A29" s="8">
        <v>28</v>
      </c>
      <c r="B29" s="8" t="s">
        <v>286</v>
      </c>
      <c r="C29" s="8" t="s">
        <v>16</v>
      </c>
      <c r="D29" s="8" t="s">
        <v>287</v>
      </c>
      <c r="E29" s="8" t="s">
        <v>80</v>
      </c>
      <c r="F29" s="8" t="s">
        <v>161</v>
      </c>
      <c r="G29" s="8">
        <v>2041.75</v>
      </c>
      <c r="H29" s="8" t="s">
        <v>236</v>
      </c>
      <c r="I29" s="8" t="s">
        <v>237</v>
      </c>
    </row>
    <row r="30" spans="1:9" x14ac:dyDescent="0.2">
      <c r="A30" s="8">
        <v>29</v>
      </c>
      <c r="B30" s="8" t="s">
        <v>288</v>
      </c>
      <c r="C30" s="8" t="s">
        <v>24</v>
      </c>
      <c r="D30" s="8" t="s">
        <v>289</v>
      </c>
      <c r="E30" s="8" t="s">
        <v>29</v>
      </c>
      <c r="F30" s="8" t="s">
        <v>107</v>
      </c>
      <c r="G30" s="8">
        <v>3630</v>
      </c>
      <c r="H30" s="8" t="s">
        <v>231</v>
      </c>
      <c r="I30" s="8"/>
    </row>
    <row r="31" spans="1:9" x14ac:dyDescent="0.2">
      <c r="A31" s="8">
        <v>30</v>
      </c>
      <c r="B31" s="8" t="s">
        <v>290</v>
      </c>
      <c r="C31" s="8" t="s">
        <v>24</v>
      </c>
      <c r="D31" s="8" t="s">
        <v>291</v>
      </c>
      <c r="E31" s="8" t="s">
        <v>86</v>
      </c>
      <c r="F31" s="8" t="s">
        <v>167</v>
      </c>
      <c r="G31" s="8">
        <v>2482.65</v>
      </c>
      <c r="H31" s="8" t="s">
        <v>231</v>
      </c>
      <c r="I31" s="8"/>
    </row>
    <row r="32" spans="1:9" x14ac:dyDescent="0.2">
      <c r="A32" s="8">
        <v>31</v>
      </c>
      <c r="B32" s="8" t="s">
        <v>292</v>
      </c>
      <c r="C32" s="8" t="s">
        <v>21</v>
      </c>
      <c r="D32" s="8" t="s">
        <v>293</v>
      </c>
      <c r="E32" s="8" t="s">
        <v>54</v>
      </c>
      <c r="F32" s="8" t="s">
        <v>177</v>
      </c>
      <c r="G32" s="8">
        <v>614.87</v>
      </c>
      <c r="H32" s="8" t="s">
        <v>231</v>
      </c>
      <c r="I32" s="8"/>
    </row>
    <row r="33" spans="1:9" x14ac:dyDescent="0.2">
      <c r="A33" s="8">
        <v>32</v>
      </c>
      <c r="B33" s="8" t="s">
        <v>294</v>
      </c>
      <c r="C33" s="8" t="s">
        <v>22</v>
      </c>
      <c r="D33" s="8" t="s">
        <v>295</v>
      </c>
      <c r="E33" s="8" t="s">
        <v>35</v>
      </c>
      <c r="F33" s="8" t="s">
        <v>132</v>
      </c>
      <c r="G33" s="8">
        <v>2292.7399999999998</v>
      </c>
      <c r="H33" s="8" t="s">
        <v>231</v>
      </c>
      <c r="I33" s="8"/>
    </row>
    <row r="34" spans="1:9" x14ac:dyDescent="0.2">
      <c r="A34" s="8">
        <v>33</v>
      </c>
      <c r="B34" s="8" t="s">
        <v>296</v>
      </c>
      <c r="C34" s="8" t="s">
        <v>20</v>
      </c>
      <c r="D34" s="8" t="s">
        <v>297</v>
      </c>
      <c r="E34" s="8" t="s">
        <v>62</v>
      </c>
      <c r="F34" s="8" t="s">
        <v>158</v>
      </c>
      <c r="G34" s="8">
        <v>1882.51</v>
      </c>
      <c r="H34" s="8" t="s">
        <v>236</v>
      </c>
      <c r="I34" s="8" t="s">
        <v>237</v>
      </c>
    </row>
    <row r="35" spans="1:9" x14ac:dyDescent="0.2">
      <c r="A35" s="8">
        <v>34</v>
      </c>
      <c r="B35" s="8" t="s">
        <v>298</v>
      </c>
      <c r="C35" s="8" t="s">
        <v>18</v>
      </c>
      <c r="D35" s="8" t="s">
        <v>299</v>
      </c>
      <c r="E35" s="8" t="s">
        <v>92</v>
      </c>
      <c r="F35" s="8" t="s">
        <v>163</v>
      </c>
      <c r="G35" s="8">
        <v>551.14</v>
      </c>
      <c r="H35" s="8" t="s">
        <v>231</v>
      </c>
      <c r="I35" s="8"/>
    </row>
    <row r="36" spans="1:9" x14ac:dyDescent="0.2">
      <c r="A36" s="8">
        <v>35</v>
      </c>
      <c r="B36" s="8" t="s">
        <v>300</v>
      </c>
      <c r="C36" s="8" t="s">
        <v>24</v>
      </c>
      <c r="D36" s="8" t="s">
        <v>301</v>
      </c>
      <c r="E36" s="8" t="s">
        <v>60</v>
      </c>
      <c r="F36" s="8" t="s">
        <v>152</v>
      </c>
      <c r="G36" s="8">
        <v>2691.23</v>
      </c>
      <c r="H36" s="8" t="s">
        <v>231</v>
      </c>
      <c r="I36" s="8"/>
    </row>
    <row r="37" spans="1:9" x14ac:dyDescent="0.2">
      <c r="A37" s="8">
        <v>36</v>
      </c>
      <c r="B37" s="8" t="s">
        <v>302</v>
      </c>
      <c r="C37" s="8" t="s">
        <v>22</v>
      </c>
      <c r="D37" s="8" t="s">
        <v>303</v>
      </c>
      <c r="E37" s="8" t="s">
        <v>29</v>
      </c>
      <c r="F37" s="8" t="s">
        <v>185</v>
      </c>
      <c r="G37" s="8">
        <v>89.63</v>
      </c>
      <c r="H37" s="8" t="s">
        <v>231</v>
      </c>
      <c r="I37" s="8"/>
    </row>
    <row r="38" spans="1:9" x14ac:dyDescent="0.2">
      <c r="A38" s="8">
        <v>37</v>
      </c>
      <c r="B38" s="8" t="s">
        <v>304</v>
      </c>
      <c r="C38" s="8" t="s">
        <v>22</v>
      </c>
      <c r="D38" s="8" t="s">
        <v>305</v>
      </c>
      <c r="E38" s="8" t="s">
        <v>56</v>
      </c>
      <c r="F38" s="8" t="s">
        <v>152</v>
      </c>
      <c r="G38" s="8">
        <v>385.38</v>
      </c>
      <c r="H38" s="8" t="s">
        <v>236</v>
      </c>
      <c r="I38" s="8" t="s">
        <v>237</v>
      </c>
    </row>
    <row r="39" spans="1:9" x14ac:dyDescent="0.2">
      <c r="A39" s="8">
        <v>38</v>
      </c>
      <c r="B39" s="8" t="s">
        <v>306</v>
      </c>
      <c r="C39" s="8" t="s">
        <v>20</v>
      </c>
      <c r="D39" s="8" t="s">
        <v>307</v>
      </c>
      <c r="E39" s="8" t="s">
        <v>80</v>
      </c>
      <c r="F39" s="8" t="s">
        <v>161</v>
      </c>
      <c r="G39" s="8">
        <v>247.54</v>
      </c>
      <c r="H39" s="8" t="s">
        <v>231</v>
      </c>
      <c r="I39" s="8"/>
    </row>
    <row r="40" spans="1:9" x14ac:dyDescent="0.2">
      <c r="A40" s="8">
        <v>39</v>
      </c>
      <c r="B40" s="8" t="s">
        <v>308</v>
      </c>
      <c r="C40" s="8" t="s">
        <v>24</v>
      </c>
      <c r="D40" s="8" t="s">
        <v>309</v>
      </c>
      <c r="E40" s="8" t="s">
        <v>33</v>
      </c>
      <c r="F40" s="8" t="s">
        <v>113</v>
      </c>
      <c r="G40" s="8">
        <v>499.02</v>
      </c>
      <c r="H40" s="8" t="s">
        <v>231</v>
      </c>
      <c r="I40" s="8"/>
    </row>
    <row r="41" spans="1:9" x14ac:dyDescent="0.2">
      <c r="A41" s="8">
        <v>40</v>
      </c>
      <c r="B41" s="8" t="s">
        <v>310</v>
      </c>
      <c r="C41" s="8" t="s">
        <v>21</v>
      </c>
      <c r="D41" s="8" t="s">
        <v>311</v>
      </c>
      <c r="E41" s="8" t="s">
        <v>68</v>
      </c>
      <c r="F41" s="8" t="s">
        <v>120</v>
      </c>
      <c r="G41" s="8">
        <v>177.24</v>
      </c>
      <c r="H41" s="8" t="s">
        <v>231</v>
      </c>
      <c r="I41" s="8"/>
    </row>
    <row r="42" spans="1:9" x14ac:dyDescent="0.2">
      <c r="A42" s="8">
        <v>41</v>
      </c>
      <c r="B42" s="8" t="s">
        <v>312</v>
      </c>
      <c r="C42" s="8" t="s">
        <v>21</v>
      </c>
      <c r="D42" s="8" t="s">
        <v>313</v>
      </c>
      <c r="E42" s="8" t="s">
        <v>68</v>
      </c>
      <c r="F42" s="8" t="s">
        <v>171</v>
      </c>
      <c r="G42" s="8">
        <v>3672.69</v>
      </c>
      <c r="H42" s="8" t="s">
        <v>236</v>
      </c>
      <c r="I42" s="8" t="s">
        <v>237</v>
      </c>
    </row>
    <row r="43" spans="1:9" x14ac:dyDescent="0.2">
      <c r="A43" s="8">
        <v>42</v>
      </c>
      <c r="B43" s="8" t="s">
        <v>314</v>
      </c>
      <c r="C43" s="8" t="s">
        <v>22</v>
      </c>
      <c r="D43" s="8" t="s">
        <v>315</v>
      </c>
      <c r="E43" s="8" t="s">
        <v>78</v>
      </c>
      <c r="F43" s="8" t="s">
        <v>156</v>
      </c>
      <c r="G43" s="8">
        <v>2797.64</v>
      </c>
      <c r="H43" s="8" t="s">
        <v>231</v>
      </c>
      <c r="I43" s="8"/>
    </row>
    <row r="44" spans="1:9" x14ac:dyDescent="0.2">
      <c r="A44" s="8">
        <v>43</v>
      </c>
      <c r="B44" s="8" t="s">
        <v>316</v>
      </c>
      <c r="C44" s="8" t="s">
        <v>21</v>
      </c>
      <c r="D44" s="8" t="s">
        <v>317</v>
      </c>
      <c r="E44" s="8" t="s">
        <v>39</v>
      </c>
      <c r="F44" s="8" t="s">
        <v>132</v>
      </c>
      <c r="G44" s="8">
        <v>2878.01</v>
      </c>
      <c r="H44" s="8" t="s">
        <v>236</v>
      </c>
      <c r="I44" s="8" t="s">
        <v>237</v>
      </c>
    </row>
    <row r="45" spans="1:9" x14ac:dyDescent="0.2">
      <c r="A45" s="8">
        <v>44</v>
      </c>
      <c r="B45" s="8" t="s">
        <v>318</v>
      </c>
      <c r="C45" s="8" t="s">
        <v>22</v>
      </c>
      <c r="D45" s="8" t="s">
        <v>293</v>
      </c>
      <c r="E45" s="8" t="s">
        <v>29</v>
      </c>
      <c r="F45" s="8" t="s">
        <v>120</v>
      </c>
      <c r="G45" s="8">
        <v>522.16</v>
      </c>
      <c r="H45" s="8" t="s">
        <v>231</v>
      </c>
      <c r="I45" s="8"/>
    </row>
    <row r="46" spans="1:9" x14ac:dyDescent="0.2">
      <c r="A46" s="8">
        <v>45</v>
      </c>
      <c r="B46" s="8" t="s">
        <v>319</v>
      </c>
      <c r="C46" s="8" t="s">
        <v>18</v>
      </c>
      <c r="D46" s="8" t="s">
        <v>320</v>
      </c>
      <c r="E46" s="8" t="s">
        <v>66</v>
      </c>
      <c r="F46" s="8" t="s">
        <v>130</v>
      </c>
      <c r="G46" s="8">
        <v>258.08999999999997</v>
      </c>
      <c r="H46" s="8" t="s">
        <v>231</v>
      </c>
      <c r="I46" s="8"/>
    </row>
    <row r="47" spans="1:9" x14ac:dyDescent="0.2">
      <c r="A47" s="8">
        <v>46</v>
      </c>
      <c r="B47" s="8" t="s">
        <v>321</v>
      </c>
      <c r="C47" s="8" t="s">
        <v>24</v>
      </c>
      <c r="D47" s="8" t="s">
        <v>322</v>
      </c>
      <c r="E47" s="8" t="s">
        <v>80</v>
      </c>
      <c r="F47" s="8" t="s">
        <v>161</v>
      </c>
      <c r="G47" s="8">
        <v>3873.18</v>
      </c>
      <c r="H47" s="8" t="s">
        <v>231</v>
      </c>
      <c r="I47" s="8"/>
    </row>
    <row r="48" spans="1:9" x14ac:dyDescent="0.2">
      <c r="A48" s="8">
        <v>47</v>
      </c>
      <c r="B48" s="8" t="s">
        <v>323</v>
      </c>
      <c r="C48" s="8" t="s">
        <v>18</v>
      </c>
      <c r="D48" s="8" t="s">
        <v>324</v>
      </c>
      <c r="E48" s="8" t="s">
        <v>39</v>
      </c>
      <c r="F48" s="8" t="s">
        <v>137</v>
      </c>
      <c r="G48" s="8">
        <v>1734.9</v>
      </c>
      <c r="H48" s="8" t="s">
        <v>231</v>
      </c>
      <c r="I48" s="8"/>
    </row>
    <row r="49" spans="1:9" x14ac:dyDescent="0.2">
      <c r="A49" s="8">
        <v>48</v>
      </c>
      <c r="B49" s="8" t="s">
        <v>325</v>
      </c>
      <c r="C49" s="8" t="s">
        <v>16</v>
      </c>
      <c r="D49" s="8" t="s">
        <v>326</v>
      </c>
      <c r="E49" s="8" t="s">
        <v>72</v>
      </c>
      <c r="F49" s="8" t="s">
        <v>148</v>
      </c>
      <c r="G49" s="8">
        <v>3514.12</v>
      </c>
      <c r="H49" s="8" t="s">
        <v>236</v>
      </c>
      <c r="I49" s="8" t="s">
        <v>327</v>
      </c>
    </row>
    <row r="50" spans="1:9" x14ac:dyDescent="0.2">
      <c r="A50" s="8">
        <v>49</v>
      </c>
      <c r="B50" s="8" t="s">
        <v>328</v>
      </c>
      <c r="C50" s="8" t="s">
        <v>24</v>
      </c>
      <c r="D50" s="8" t="s">
        <v>329</v>
      </c>
      <c r="E50" s="8" t="s">
        <v>90</v>
      </c>
      <c r="F50" s="8" t="s">
        <v>169</v>
      </c>
      <c r="G50" s="8">
        <v>956.52</v>
      </c>
      <c r="H50" s="8" t="s">
        <v>231</v>
      </c>
      <c r="I50" s="8"/>
    </row>
    <row r="51" spans="1:9" x14ac:dyDescent="0.2">
      <c r="A51" s="8">
        <v>50</v>
      </c>
      <c r="B51" s="8" t="s">
        <v>330</v>
      </c>
      <c r="C51" s="8" t="s">
        <v>24</v>
      </c>
      <c r="D51" s="8" t="s">
        <v>331</v>
      </c>
      <c r="E51" s="8" t="s">
        <v>98</v>
      </c>
      <c r="F51" s="8" t="s">
        <v>118</v>
      </c>
      <c r="G51" s="8">
        <v>2685.88</v>
      </c>
      <c r="H51" s="8" t="s">
        <v>231</v>
      </c>
      <c r="I51" s="8"/>
    </row>
    <row r="52" spans="1:9" x14ac:dyDescent="0.2">
      <c r="A52" s="8">
        <v>51</v>
      </c>
      <c r="B52" s="8" t="s">
        <v>332</v>
      </c>
      <c r="C52" s="8" t="s">
        <v>20</v>
      </c>
      <c r="D52" s="8" t="s">
        <v>333</v>
      </c>
      <c r="E52" s="8" t="s">
        <v>54</v>
      </c>
      <c r="F52" s="8" t="s">
        <v>177</v>
      </c>
      <c r="G52" s="8">
        <v>175.75</v>
      </c>
      <c r="H52" s="8" t="s">
        <v>231</v>
      </c>
      <c r="I52" s="8"/>
    </row>
    <row r="53" spans="1:9" x14ac:dyDescent="0.2">
      <c r="A53" s="8">
        <v>52</v>
      </c>
      <c r="B53" s="8" t="s">
        <v>334</v>
      </c>
      <c r="C53" s="8" t="s">
        <v>24</v>
      </c>
      <c r="D53" s="8" t="s">
        <v>335</v>
      </c>
      <c r="E53" s="8" t="s">
        <v>39</v>
      </c>
      <c r="F53" s="8" t="s">
        <v>132</v>
      </c>
      <c r="G53" s="8">
        <v>2947.46</v>
      </c>
      <c r="H53" s="8" t="s">
        <v>231</v>
      </c>
      <c r="I53" s="8"/>
    </row>
    <row r="54" spans="1:9" x14ac:dyDescent="0.2">
      <c r="A54" s="8">
        <v>53</v>
      </c>
      <c r="B54" s="8" t="s">
        <v>336</v>
      </c>
      <c r="C54" s="8" t="s">
        <v>20</v>
      </c>
      <c r="D54" s="8" t="s">
        <v>337</v>
      </c>
      <c r="E54" s="8" t="s">
        <v>92</v>
      </c>
      <c r="F54" s="8" t="s">
        <v>165</v>
      </c>
      <c r="G54" s="8">
        <v>3391.95</v>
      </c>
      <c r="H54" s="8" t="s">
        <v>231</v>
      </c>
      <c r="I54" s="8"/>
    </row>
    <row r="55" spans="1:9" x14ac:dyDescent="0.2">
      <c r="A55" s="8">
        <v>54</v>
      </c>
      <c r="B55" s="8" t="s">
        <v>338</v>
      </c>
      <c r="C55" s="8" t="s">
        <v>23</v>
      </c>
      <c r="D55" s="8" t="s">
        <v>339</v>
      </c>
      <c r="E55" s="8" t="s">
        <v>80</v>
      </c>
      <c r="F55" s="8" t="s">
        <v>158</v>
      </c>
      <c r="G55" s="8">
        <v>1991.65</v>
      </c>
      <c r="H55" s="8" t="s">
        <v>231</v>
      </c>
      <c r="I55" s="8"/>
    </row>
    <row r="56" spans="1:9" x14ac:dyDescent="0.2">
      <c r="A56" s="8">
        <v>55</v>
      </c>
      <c r="B56" s="8" t="s">
        <v>340</v>
      </c>
      <c r="C56" s="8" t="s">
        <v>24</v>
      </c>
      <c r="D56" s="8" t="s">
        <v>341</v>
      </c>
      <c r="E56" s="8" t="s">
        <v>66</v>
      </c>
      <c r="F56" s="8" t="s">
        <v>148</v>
      </c>
      <c r="G56" s="8">
        <v>3628.67</v>
      </c>
      <c r="H56" s="8" t="s">
        <v>231</v>
      </c>
      <c r="I56" s="8"/>
    </row>
    <row r="57" spans="1:9" x14ac:dyDescent="0.2">
      <c r="A57" s="8">
        <v>56</v>
      </c>
      <c r="B57" s="8" t="s">
        <v>342</v>
      </c>
      <c r="C57" s="8" t="s">
        <v>21</v>
      </c>
      <c r="D57" s="8" t="s">
        <v>343</v>
      </c>
      <c r="E57" s="8" t="s">
        <v>96</v>
      </c>
      <c r="F57" s="8" t="s">
        <v>163</v>
      </c>
      <c r="G57" s="8">
        <v>394.62</v>
      </c>
      <c r="H57" s="8" t="s">
        <v>231</v>
      </c>
      <c r="I57" s="8"/>
    </row>
    <row r="58" spans="1:9" x14ac:dyDescent="0.2">
      <c r="A58" s="8">
        <v>57</v>
      </c>
      <c r="B58" s="8" t="s">
        <v>344</v>
      </c>
      <c r="C58" s="8" t="s">
        <v>21</v>
      </c>
      <c r="D58" s="8" t="s">
        <v>345</v>
      </c>
      <c r="E58" s="8" t="s">
        <v>62</v>
      </c>
      <c r="F58" s="8" t="s">
        <v>127</v>
      </c>
      <c r="G58" s="8">
        <v>2937.54</v>
      </c>
      <c r="H58" s="8" t="s">
        <v>236</v>
      </c>
      <c r="I58" s="8" t="s">
        <v>237</v>
      </c>
    </row>
    <row r="59" spans="1:9" x14ac:dyDescent="0.2">
      <c r="A59" s="8">
        <v>58</v>
      </c>
      <c r="B59" s="8" t="s">
        <v>346</v>
      </c>
      <c r="C59" s="8" t="s">
        <v>20</v>
      </c>
      <c r="D59" s="8" t="s">
        <v>347</v>
      </c>
      <c r="E59" s="8" t="s">
        <v>72</v>
      </c>
      <c r="F59" s="8" t="s">
        <v>187</v>
      </c>
      <c r="G59" s="8">
        <v>3510.68</v>
      </c>
      <c r="H59" s="8" t="s">
        <v>236</v>
      </c>
      <c r="I59" s="8" t="s">
        <v>348</v>
      </c>
    </row>
    <row r="60" spans="1:9" x14ac:dyDescent="0.2">
      <c r="A60" s="8">
        <v>59</v>
      </c>
      <c r="B60" s="8" t="s">
        <v>349</v>
      </c>
      <c r="C60" s="8" t="s">
        <v>18</v>
      </c>
      <c r="D60" s="8" t="s">
        <v>350</v>
      </c>
      <c r="E60" s="8" t="s">
        <v>90</v>
      </c>
      <c r="F60" s="8" t="s">
        <v>167</v>
      </c>
      <c r="G60" s="8">
        <v>3183.08</v>
      </c>
      <c r="H60" s="8" t="s">
        <v>231</v>
      </c>
      <c r="I60" s="8"/>
    </row>
    <row r="61" spans="1:9" x14ac:dyDescent="0.2">
      <c r="A61" s="8">
        <v>60</v>
      </c>
      <c r="B61" s="8" t="s">
        <v>351</v>
      </c>
      <c r="C61" s="8" t="s">
        <v>21</v>
      </c>
      <c r="D61" s="8" t="s">
        <v>352</v>
      </c>
      <c r="E61" s="8" t="s">
        <v>68</v>
      </c>
      <c r="F61" s="8" t="s">
        <v>171</v>
      </c>
      <c r="G61" s="8">
        <v>2078.27</v>
      </c>
      <c r="H61" s="8" t="s">
        <v>231</v>
      </c>
      <c r="I61" s="8"/>
    </row>
    <row r="62" spans="1:9" x14ac:dyDescent="0.2">
      <c r="A62" s="8">
        <v>61</v>
      </c>
      <c r="B62" s="8" t="s">
        <v>353</v>
      </c>
      <c r="C62" s="8" t="s">
        <v>21</v>
      </c>
      <c r="D62" s="8" t="s">
        <v>354</v>
      </c>
      <c r="E62" s="8" t="s">
        <v>68</v>
      </c>
      <c r="F62" s="8" t="s">
        <v>171</v>
      </c>
      <c r="G62" s="8">
        <v>2516.56</v>
      </c>
      <c r="H62" s="8" t="s">
        <v>236</v>
      </c>
      <c r="I62" s="8" t="s">
        <v>237</v>
      </c>
    </row>
    <row r="63" spans="1:9" x14ac:dyDescent="0.2">
      <c r="A63" s="8">
        <v>62</v>
      </c>
      <c r="B63" s="8" t="s">
        <v>355</v>
      </c>
      <c r="C63" s="8" t="s">
        <v>18</v>
      </c>
      <c r="D63" s="8" t="s">
        <v>287</v>
      </c>
      <c r="E63" s="8" t="s">
        <v>68</v>
      </c>
      <c r="F63" s="8" t="s">
        <v>187</v>
      </c>
      <c r="G63" s="8">
        <v>1638.8</v>
      </c>
      <c r="H63" s="8" t="s">
        <v>236</v>
      </c>
      <c r="I63" s="8" t="s">
        <v>237</v>
      </c>
    </row>
    <row r="64" spans="1:9" x14ac:dyDescent="0.2">
      <c r="A64" s="8">
        <v>63</v>
      </c>
      <c r="B64" s="8" t="s">
        <v>356</v>
      </c>
      <c r="C64" s="8" t="s">
        <v>21</v>
      </c>
      <c r="D64" s="8" t="s">
        <v>357</v>
      </c>
      <c r="E64" s="8" t="s">
        <v>72</v>
      </c>
      <c r="F64" s="8" t="s">
        <v>175</v>
      </c>
      <c r="G64" s="8">
        <v>154.96</v>
      </c>
      <c r="H64" s="8" t="s">
        <v>231</v>
      </c>
      <c r="I64" s="8"/>
    </row>
    <row r="65" spans="1:9" x14ac:dyDescent="0.2">
      <c r="A65" s="8">
        <v>64</v>
      </c>
      <c r="B65" s="8" t="s">
        <v>358</v>
      </c>
      <c r="C65" s="8" t="s">
        <v>23</v>
      </c>
      <c r="D65" s="8" t="s">
        <v>359</v>
      </c>
      <c r="E65" s="8" t="s">
        <v>62</v>
      </c>
      <c r="F65" s="8" t="s">
        <v>132</v>
      </c>
      <c r="G65" s="8">
        <v>203</v>
      </c>
      <c r="H65" s="8" t="s">
        <v>231</v>
      </c>
      <c r="I65" s="8"/>
    </row>
    <row r="66" spans="1:9" x14ac:dyDescent="0.2">
      <c r="A66" s="8">
        <v>65</v>
      </c>
      <c r="B66" s="8" t="s">
        <v>360</v>
      </c>
      <c r="C66" s="8" t="s">
        <v>24</v>
      </c>
      <c r="D66" s="8" t="s">
        <v>361</v>
      </c>
      <c r="E66" s="8" t="s">
        <v>86</v>
      </c>
      <c r="F66" s="8" t="s">
        <v>167</v>
      </c>
      <c r="G66" s="8">
        <v>546.86</v>
      </c>
      <c r="H66" s="8" t="s">
        <v>248</v>
      </c>
      <c r="I66" s="8"/>
    </row>
    <row r="67" spans="1:9" x14ac:dyDescent="0.2">
      <c r="A67" s="8">
        <v>66</v>
      </c>
      <c r="B67" s="8" t="s">
        <v>362</v>
      </c>
      <c r="C67" s="8" t="s">
        <v>18</v>
      </c>
      <c r="D67" s="8" t="s">
        <v>247</v>
      </c>
      <c r="E67" s="8" t="s">
        <v>60</v>
      </c>
      <c r="F67" s="8" t="s">
        <v>150</v>
      </c>
      <c r="G67" s="8">
        <v>520.91</v>
      </c>
      <c r="H67" s="8" t="s">
        <v>231</v>
      </c>
      <c r="I67" s="8"/>
    </row>
    <row r="68" spans="1:9" x14ac:dyDescent="0.2">
      <c r="A68" s="8">
        <v>67</v>
      </c>
      <c r="B68" s="8" t="s">
        <v>363</v>
      </c>
      <c r="C68" s="8" t="s">
        <v>16</v>
      </c>
      <c r="D68" s="8" t="s">
        <v>364</v>
      </c>
      <c r="E68" s="8" t="s">
        <v>96</v>
      </c>
      <c r="F68" s="8" t="s">
        <v>163</v>
      </c>
      <c r="G68" s="8">
        <v>2923.78</v>
      </c>
      <c r="H68" s="8" t="s">
        <v>231</v>
      </c>
      <c r="I68" s="8"/>
    </row>
    <row r="69" spans="1:9" x14ac:dyDescent="0.2">
      <c r="A69" s="8">
        <v>68</v>
      </c>
      <c r="B69" s="8" t="s">
        <v>365</v>
      </c>
      <c r="C69" s="8" t="s">
        <v>21</v>
      </c>
      <c r="D69" s="8" t="s">
        <v>366</v>
      </c>
      <c r="E69" s="8" t="s">
        <v>56</v>
      </c>
      <c r="F69" s="8" t="s">
        <v>118</v>
      </c>
      <c r="G69" s="8">
        <v>2803.78</v>
      </c>
      <c r="H69" s="8" t="s">
        <v>231</v>
      </c>
      <c r="I69" s="8"/>
    </row>
    <row r="70" spans="1:9" x14ac:dyDescent="0.2">
      <c r="A70" s="8">
        <v>69</v>
      </c>
      <c r="B70" s="8" t="s">
        <v>367</v>
      </c>
      <c r="C70" s="8" t="s">
        <v>18</v>
      </c>
      <c r="D70" s="8" t="s">
        <v>368</v>
      </c>
      <c r="E70" s="8" t="s">
        <v>33</v>
      </c>
      <c r="F70" s="8" t="s">
        <v>120</v>
      </c>
      <c r="G70" s="8">
        <v>2696.79</v>
      </c>
      <c r="H70" s="8" t="s">
        <v>231</v>
      </c>
      <c r="I70" s="8"/>
    </row>
    <row r="71" spans="1:9" x14ac:dyDescent="0.2">
      <c r="A71" s="8">
        <v>70</v>
      </c>
      <c r="B71" s="8" t="s">
        <v>369</v>
      </c>
      <c r="C71" s="8" t="s">
        <v>21</v>
      </c>
      <c r="D71" s="8" t="s">
        <v>370</v>
      </c>
      <c r="E71" s="8" t="s">
        <v>68</v>
      </c>
      <c r="F71" s="8" t="s">
        <v>175</v>
      </c>
      <c r="G71" s="8">
        <v>3481.16</v>
      </c>
      <c r="H71" s="8" t="s">
        <v>231</v>
      </c>
      <c r="I71" s="8"/>
    </row>
    <row r="72" spans="1:9" x14ac:dyDescent="0.2">
      <c r="A72" s="8">
        <v>71</v>
      </c>
      <c r="B72" s="8" t="s">
        <v>371</v>
      </c>
      <c r="C72" s="8" t="s">
        <v>23</v>
      </c>
      <c r="D72" s="8" t="s">
        <v>372</v>
      </c>
      <c r="E72" s="8" t="s">
        <v>47</v>
      </c>
      <c r="F72" s="8" t="s">
        <v>180</v>
      </c>
      <c r="G72" s="8">
        <v>1991.92</v>
      </c>
      <c r="H72" s="8" t="s">
        <v>231</v>
      </c>
      <c r="I72" s="8"/>
    </row>
    <row r="73" spans="1:9" x14ac:dyDescent="0.2">
      <c r="A73" s="8">
        <v>72</v>
      </c>
      <c r="B73" s="8" t="s">
        <v>373</v>
      </c>
      <c r="C73" s="8" t="s">
        <v>20</v>
      </c>
      <c r="D73" s="8" t="s">
        <v>374</v>
      </c>
      <c r="E73" s="8" t="s">
        <v>33</v>
      </c>
      <c r="F73" s="8" t="s">
        <v>120</v>
      </c>
      <c r="G73" s="8">
        <v>1538.65</v>
      </c>
      <c r="H73" s="8" t="s">
        <v>231</v>
      </c>
      <c r="I73" s="8"/>
    </row>
    <row r="74" spans="1:9" x14ac:dyDescent="0.2">
      <c r="A74" s="8">
        <v>73</v>
      </c>
      <c r="B74" s="8" t="s">
        <v>375</v>
      </c>
      <c r="C74" s="8" t="s">
        <v>20</v>
      </c>
      <c r="D74" s="8" t="s">
        <v>376</v>
      </c>
      <c r="E74" s="8" t="s">
        <v>90</v>
      </c>
      <c r="F74" s="8" t="s">
        <v>167</v>
      </c>
      <c r="G74" s="8">
        <v>3045.31</v>
      </c>
      <c r="H74" s="8" t="s">
        <v>231</v>
      </c>
      <c r="I74" s="8"/>
    </row>
    <row r="75" spans="1:9" x14ac:dyDescent="0.2">
      <c r="A75" s="8">
        <v>74</v>
      </c>
      <c r="B75" s="8" t="s">
        <v>377</v>
      </c>
      <c r="C75" s="8" t="s">
        <v>22</v>
      </c>
      <c r="D75" s="8" t="s">
        <v>378</v>
      </c>
      <c r="E75" s="8" t="s">
        <v>102</v>
      </c>
      <c r="F75" s="8" t="s">
        <v>130</v>
      </c>
      <c r="G75" s="8">
        <v>1288.72</v>
      </c>
      <c r="H75" s="8" t="s">
        <v>231</v>
      </c>
      <c r="I75" s="8"/>
    </row>
    <row r="76" spans="1:9" x14ac:dyDescent="0.2">
      <c r="A76" s="8">
        <v>75</v>
      </c>
      <c r="B76" s="8" t="s">
        <v>379</v>
      </c>
      <c r="C76" s="8" t="s">
        <v>24</v>
      </c>
      <c r="D76" s="8" t="s">
        <v>380</v>
      </c>
      <c r="E76" s="8" t="s">
        <v>96</v>
      </c>
      <c r="F76" s="8" t="s">
        <v>165</v>
      </c>
      <c r="G76" s="8">
        <v>2345.35</v>
      </c>
      <c r="H76" s="8" t="s">
        <v>231</v>
      </c>
      <c r="I76" s="8"/>
    </row>
    <row r="77" spans="1:9" x14ac:dyDescent="0.2">
      <c r="A77" s="8">
        <v>76</v>
      </c>
      <c r="B77" s="8" t="s">
        <v>381</v>
      </c>
      <c r="C77" s="8" t="s">
        <v>18</v>
      </c>
      <c r="D77" s="8" t="s">
        <v>382</v>
      </c>
      <c r="E77" s="8" t="s">
        <v>60</v>
      </c>
      <c r="F77" s="8" t="s">
        <v>150</v>
      </c>
      <c r="G77" s="8">
        <v>568.16</v>
      </c>
      <c r="H77" s="8" t="s">
        <v>231</v>
      </c>
      <c r="I77" s="8"/>
    </row>
    <row r="78" spans="1:9" x14ac:dyDescent="0.2">
      <c r="A78" s="8">
        <v>77</v>
      </c>
      <c r="B78" s="8" t="s">
        <v>383</v>
      </c>
      <c r="C78" s="8" t="s">
        <v>18</v>
      </c>
      <c r="D78" s="8" t="s">
        <v>384</v>
      </c>
      <c r="E78" s="8" t="s">
        <v>41</v>
      </c>
      <c r="F78" s="8" t="s">
        <v>113</v>
      </c>
      <c r="G78" s="8">
        <v>3063.91</v>
      </c>
      <c r="H78" s="8" t="s">
        <v>248</v>
      </c>
      <c r="I78" s="8"/>
    </row>
    <row r="79" spans="1:9" x14ac:dyDescent="0.2">
      <c r="A79" s="8">
        <v>78</v>
      </c>
      <c r="B79" s="8" t="s">
        <v>385</v>
      </c>
      <c r="C79" s="8" t="s">
        <v>18</v>
      </c>
      <c r="D79" s="8" t="s">
        <v>386</v>
      </c>
      <c r="E79" s="8" t="s">
        <v>56</v>
      </c>
      <c r="F79" s="8" t="s">
        <v>152</v>
      </c>
      <c r="G79" s="8">
        <v>815.2</v>
      </c>
      <c r="H79" s="8" t="s">
        <v>231</v>
      </c>
      <c r="I79" s="8"/>
    </row>
    <row r="80" spans="1:9" x14ac:dyDescent="0.2">
      <c r="A80" s="8">
        <v>79</v>
      </c>
      <c r="B80" s="8" t="s">
        <v>387</v>
      </c>
      <c r="C80" s="8" t="s">
        <v>24</v>
      </c>
      <c r="D80" s="8" t="s">
        <v>388</v>
      </c>
      <c r="E80" s="8" t="s">
        <v>56</v>
      </c>
      <c r="F80" s="8" t="s">
        <v>152</v>
      </c>
      <c r="G80" s="8">
        <v>3657.4</v>
      </c>
      <c r="H80" s="8" t="s">
        <v>231</v>
      </c>
      <c r="I80" s="8"/>
    </row>
    <row r="81" spans="1:9" x14ac:dyDescent="0.2">
      <c r="A81" s="8">
        <v>80</v>
      </c>
      <c r="B81" s="8" t="s">
        <v>389</v>
      </c>
      <c r="C81" s="8" t="s">
        <v>18</v>
      </c>
      <c r="D81" s="8" t="s">
        <v>390</v>
      </c>
      <c r="E81" s="8" t="s">
        <v>90</v>
      </c>
      <c r="F81" s="8" t="s">
        <v>169</v>
      </c>
      <c r="G81" s="8">
        <v>835.5</v>
      </c>
      <c r="H81" s="8" t="s">
        <v>231</v>
      </c>
      <c r="I81" s="8"/>
    </row>
    <row r="82" spans="1:9" x14ac:dyDescent="0.2">
      <c r="A82" s="8">
        <v>81</v>
      </c>
      <c r="B82" s="8" t="s">
        <v>391</v>
      </c>
      <c r="C82" s="8" t="s">
        <v>22</v>
      </c>
      <c r="D82" s="8" t="s">
        <v>392</v>
      </c>
      <c r="E82" s="8" t="s">
        <v>74</v>
      </c>
      <c r="F82" s="8" t="s">
        <v>154</v>
      </c>
      <c r="G82" s="8">
        <v>2455.21</v>
      </c>
      <c r="H82" s="8" t="s">
        <v>236</v>
      </c>
      <c r="I82" s="8" t="s">
        <v>237</v>
      </c>
    </row>
    <row r="83" spans="1:9" x14ac:dyDescent="0.2">
      <c r="A83" s="8">
        <v>82</v>
      </c>
      <c r="B83" s="8" t="s">
        <v>393</v>
      </c>
      <c r="C83" s="8" t="s">
        <v>16</v>
      </c>
      <c r="D83" s="8" t="s">
        <v>394</v>
      </c>
      <c r="E83" s="8" t="s">
        <v>90</v>
      </c>
      <c r="F83" s="8" t="s">
        <v>120</v>
      </c>
      <c r="G83" s="8">
        <v>3228.33</v>
      </c>
      <c r="H83" s="8" t="s">
        <v>236</v>
      </c>
      <c r="I83" s="8" t="s">
        <v>327</v>
      </c>
    </row>
    <row r="84" spans="1:9" x14ac:dyDescent="0.2">
      <c r="A84" s="8">
        <v>83</v>
      </c>
      <c r="B84" s="8" t="s">
        <v>395</v>
      </c>
      <c r="C84" s="8" t="s">
        <v>18</v>
      </c>
      <c r="D84" s="8" t="s">
        <v>396</v>
      </c>
      <c r="E84" s="8" t="s">
        <v>72</v>
      </c>
      <c r="F84" s="8" t="s">
        <v>175</v>
      </c>
      <c r="G84" s="8">
        <v>2420.6</v>
      </c>
      <c r="H84" s="8" t="s">
        <v>231</v>
      </c>
      <c r="I84" s="8"/>
    </row>
    <row r="85" spans="1:9" x14ac:dyDescent="0.2">
      <c r="A85" s="8">
        <v>84</v>
      </c>
      <c r="B85" s="8" t="s">
        <v>397</v>
      </c>
      <c r="C85" s="8" t="s">
        <v>24</v>
      </c>
      <c r="D85" s="8" t="s">
        <v>398</v>
      </c>
      <c r="E85" s="8" t="s">
        <v>35</v>
      </c>
      <c r="F85" s="8" t="s">
        <v>134</v>
      </c>
      <c r="G85" s="8">
        <v>409.9</v>
      </c>
      <c r="H85" s="8" t="s">
        <v>231</v>
      </c>
      <c r="I85" s="8"/>
    </row>
    <row r="86" spans="1:9" x14ac:dyDescent="0.2">
      <c r="A86" s="8">
        <v>85</v>
      </c>
      <c r="B86" s="8" t="s">
        <v>399</v>
      </c>
      <c r="C86" s="8" t="s">
        <v>18</v>
      </c>
      <c r="D86" s="8" t="s">
        <v>400</v>
      </c>
      <c r="E86" s="8" t="s">
        <v>41</v>
      </c>
      <c r="F86" s="8" t="s">
        <v>130</v>
      </c>
      <c r="G86" s="8">
        <v>209.64</v>
      </c>
      <c r="H86" s="8" t="s">
        <v>231</v>
      </c>
      <c r="I86" s="8"/>
    </row>
    <row r="87" spans="1:9" x14ac:dyDescent="0.2">
      <c r="A87" s="8">
        <v>86</v>
      </c>
      <c r="B87" s="8" t="s">
        <v>401</v>
      </c>
      <c r="C87" s="8" t="s">
        <v>21</v>
      </c>
      <c r="D87" s="8" t="s">
        <v>402</v>
      </c>
      <c r="E87" s="8" t="s">
        <v>74</v>
      </c>
      <c r="F87" s="8" t="s">
        <v>144</v>
      </c>
      <c r="G87" s="8">
        <v>548.45000000000005</v>
      </c>
      <c r="H87" s="8" t="s">
        <v>231</v>
      </c>
      <c r="I87" s="8"/>
    </row>
    <row r="88" spans="1:9" x14ac:dyDescent="0.2">
      <c r="A88" s="8">
        <v>87</v>
      </c>
      <c r="B88" s="8" t="s">
        <v>403</v>
      </c>
      <c r="C88" s="8" t="s">
        <v>23</v>
      </c>
      <c r="D88" s="8" t="s">
        <v>268</v>
      </c>
      <c r="E88" s="8" t="s">
        <v>56</v>
      </c>
      <c r="F88" s="8" t="s">
        <v>120</v>
      </c>
      <c r="G88" s="8">
        <v>1343.9</v>
      </c>
      <c r="H88" s="8" t="s">
        <v>236</v>
      </c>
      <c r="I88" s="8" t="s">
        <v>237</v>
      </c>
    </row>
    <row r="89" spans="1:9" x14ac:dyDescent="0.2">
      <c r="A89" s="8">
        <v>88</v>
      </c>
      <c r="B89" s="8" t="s">
        <v>404</v>
      </c>
      <c r="C89" s="8" t="s">
        <v>16</v>
      </c>
      <c r="D89" s="8" t="s">
        <v>405</v>
      </c>
      <c r="E89" s="8" t="s">
        <v>78</v>
      </c>
      <c r="F89" s="8" t="s">
        <v>156</v>
      </c>
      <c r="G89" s="8">
        <v>2111.91</v>
      </c>
      <c r="H89" s="8" t="s">
        <v>231</v>
      </c>
      <c r="I89" s="8"/>
    </row>
    <row r="90" spans="1:9" x14ac:dyDescent="0.2">
      <c r="A90" s="8">
        <v>89</v>
      </c>
      <c r="B90" s="8" t="s">
        <v>406</v>
      </c>
      <c r="C90" s="8" t="s">
        <v>20</v>
      </c>
      <c r="D90" s="8" t="s">
        <v>407</v>
      </c>
      <c r="E90" s="8" t="s">
        <v>72</v>
      </c>
      <c r="F90" s="8" t="s">
        <v>158</v>
      </c>
      <c r="G90" s="8">
        <v>4042.88</v>
      </c>
      <c r="H90" s="8" t="s">
        <v>236</v>
      </c>
      <c r="I90" s="8" t="s">
        <v>348</v>
      </c>
    </row>
    <row r="91" spans="1:9" x14ac:dyDescent="0.2">
      <c r="A91" s="8">
        <v>90</v>
      </c>
      <c r="B91" s="8" t="s">
        <v>408</v>
      </c>
      <c r="C91" s="8" t="s">
        <v>16</v>
      </c>
      <c r="D91" s="8" t="s">
        <v>400</v>
      </c>
      <c r="E91" s="8" t="s">
        <v>96</v>
      </c>
      <c r="F91" s="8" t="s">
        <v>163</v>
      </c>
      <c r="G91" s="8">
        <v>2762.48</v>
      </c>
      <c r="H91" s="8" t="s">
        <v>236</v>
      </c>
      <c r="I91" s="8" t="s">
        <v>237</v>
      </c>
    </row>
    <row r="92" spans="1:9" x14ac:dyDescent="0.2">
      <c r="A92" s="8">
        <v>91</v>
      </c>
      <c r="B92" s="8" t="s">
        <v>409</v>
      </c>
      <c r="C92" s="8" t="s">
        <v>18</v>
      </c>
      <c r="D92" s="8" t="s">
        <v>400</v>
      </c>
      <c r="E92" s="8" t="s">
        <v>90</v>
      </c>
      <c r="F92" s="8" t="s">
        <v>187</v>
      </c>
      <c r="G92" s="8">
        <v>1759.44</v>
      </c>
      <c r="H92" s="8" t="s">
        <v>236</v>
      </c>
      <c r="I92" s="8" t="s">
        <v>348</v>
      </c>
    </row>
    <row r="93" spans="1:9" x14ac:dyDescent="0.2">
      <c r="A93" s="8">
        <v>92</v>
      </c>
      <c r="B93" s="8" t="s">
        <v>410</v>
      </c>
      <c r="C93" s="8" t="s">
        <v>23</v>
      </c>
      <c r="D93" s="8" t="s">
        <v>411</v>
      </c>
      <c r="E93" s="8" t="s">
        <v>66</v>
      </c>
      <c r="F93" s="8" t="s">
        <v>148</v>
      </c>
      <c r="G93" s="8">
        <v>3212.06</v>
      </c>
      <c r="H93" s="8" t="s">
        <v>231</v>
      </c>
      <c r="I93" s="8"/>
    </row>
    <row r="94" spans="1:9" x14ac:dyDescent="0.2">
      <c r="A94" s="8">
        <v>93</v>
      </c>
      <c r="B94" s="8" t="s">
        <v>412</v>
      </c>
      <c r="C94" s="8" t="s">
        <v>23</v>
      </c>
      <c r="D94" s="8" t="s">
        <v>413</v>
      </c>
      <c r="E94" s="8" t="s">
        <v>60</v>
      </c>
      <c r="F94" s="8" t="s">
        <v>130</v>
      </c>
      <c r="G94" s="8">
        <v>4150.99</v>
      </c>
      <c r="H94" s="8" t="s">
        <v>236</v>
      </c>
      <c r="I94" s="8" t="s">
        <v>414</v>
      </c>
    </row>
    <row r="95" spans="1:9" x14ac:dyDescent="0.2">
      <c r="A95" s="8">
        <v>94</v>
      </c>
      <c r="B95" s="8" t="s">
        <v>415</v>
      </c>
      <c r="C95" s="8" t="s">
        <v>23</v>
      </c>
      <c r="D95" s="8" t="s">
        <v>329</v>
      </c>
      <c r="E95" s="8" t="s">
        <v>54</v>
      </c>
      <c r="F95" s="8" t="s">
        <v>180</v>
      </c>
      <c r="G95" s="8">
        <v>287.89999999999998</v>
      </c>
      <c r="H95" s="8" t="s">
        <v>231</v>
      </c>
      <c r="I95" s="8"/>
    </row>
    <row r="96" spans="1:9" x14ac:dyDescent="0.2">
      <c r="A96" s="8">
        <v>95</v>
      </c>
      <c r="B96" s="8" t="s">
        <v>416</v>
      </c>
      <c r="C96" s="8" t="s">
        <v>24</v>
      </c>
      <c r="D96" s="8" t="s">
        <v>417</v>
      </c>
      <c r="E96" s="8" t="s">
        <v>60</v>
      </c>
      <c r="F96" s="8" t="s">
        <v>187</v>
      </c>
      <c r="G96" s="8">
        <v>2586.6</v>
      </c>
      <c r="H96" s="8" t="s">
        <v>236</v>
      </c>
      <c r="I96" s="8" t="s">
        <v>327</v>
      </c>
    </row>
    <row r="97" spans="1:9" x14ac:dyDescent="0.2">
      <c r="A97" s="8">
        <v>96</v>
      </c>
      <c r="B97" s="8" t="s">
        <v>418</v>
      </c>
      <c r="C97" s="8" t="s">
        <v>21</v>
      </c>
      <c r="D97" s="8" t="s">
        <v>419</v>
      </c>
      <c r="E97" s="8" t="s">
        <v>33</v>
      </c>
      <c r="F97" s="8" t="s">
        <v>107</v>
      </c>
      <c r="G97" s="8">
        <v>3981.63</v>
      </c>
      <c r="H97" s="8" t="s">
        <v>231</v>
      </c>
      <c r="I97" s="8"/>
    </row>
    <row r="98" spans="1:9" x14ac:dyDescent="0.2">
      <c r="A98" s="8">
        <v>97</v>
      </c>
      <c r="B98" s="8" t="s">
        <v>420</v>
      </c>
      <c r="C98" s="8" t="s">
        <v>23</v>
      </c>
      <c r="D98" s="8" t="s">
        <v>421</v>
      </c>
      <c r="E98" s="8" t="s">
        <v>102</v>
      </c>
      <c r="F98" s="8" t="s">
        <v>165</v>
      </c>
      <c r="G98" s="8">
        <v>2065.31</v>
      </c>
      <c r="H98" s="8" t="s">
        <v>236</v>
      </c>
      <c r="I98" s="8" t="s">
        <v>414</v>
      </c>
    </row>
    <row r="99" spans="1:9" x14ac:dyDescent="0.2">
      <c r="A99" s="8">
        <v>98</v>
      </c>
      <c r="B99" s="8" t="s">
        <v>422</v>
      </c>
      <c r="C99" s="8" t="s">
        <v>23</v>
      </c>
      <c r="D99" s="8" t="s">
        <v>423</v>
      </c>
      <c r="E99" s="8" t="s">
        <v>68</v>
      </c>
      <c r="F99" s="8" t="s">
        <v>120</v>
      </c>
      <c r="G99" s="8">
        <v>3333.78</v>
      </c>
      <c r="H99" s="8" t="s">
        <v>231</v>
      </c>
      <c r="I99" s="8"/>
    </row>
    <row r="100" spans="1:9" x14ac:dyDescent="0.2">
      <c r="A100" s="8">
        <v>99</v>
      </c>
      <c r="B100" s="8" t="s">
        <v>424</v>
      </c>
      <c r="C100" s="8" t="s">
        <v>23</v>
      </c>
      <c r="D100" s="8" t="s">
        <v>425</v>
      </c>
      <c r="E100" s="8" t="s">
        <v>84</v>
      </c>
      <c r="F100" s="8" t="s">
        <v>158</v>
      </c>
      <c r="G100" s="8">
        <v>2496.12</v>
      </c>
      <c r="H100" s="8" t="s">
        <v>248</v>
      </c>
      <c r="I100" s="8"/>
    </row>
    <row r="101" spans="1:9" x14ac:dyDescent="0.2">
      <c r="A101" s="8">
        <v>100</v>
      </c>
      <c r="B101" s="8" t="s">
        <v>426</v>
      </c>
      <c r="C101" s="8" t="s">
        <v>16</v>
      </c>
      <c r="D101" s="8" t="s">
        <v>427</v>
      </c>
      <c r="E101" s="8" t="s">
        <v>45</v>
      </c>
      <c r="F101" s="8" t="s">
        <v>130</v>
      </c>
      <c r="G101" s="8">
        <v>3221.85</v>
      </c>
      <c r="H101" s="8" t="s">
        <v>231</v>
      </c>
      <c r="I101" s="8"/>
    </row>
    <row r="102" spans="1:9" x14ac:dyDescent="0.2">
      <c r="A102" s="8">
        <v>101</v>
      </c>
      <c r="B102" s="8" t="s">
        <v>428</v>
      </c>
      <c r="C102" s="8" t="s">
        <v>23</v>
      </c>
      <c r="D102" s="8" t="s">
        <v>429</v>
      </c>
      <c r="E102" s="8" t="s">
        <v>54</v>
      </c>
      <c r="F102" s="8" t="s">
        <v>154</v>
      </c>
      <c r="G102" s="8">
        <v>3274.12</v>
      </c>
      <c r="H102" s="8" t="s">
        <v>231</v>
      </c>
      <c r="I102" s="8"/>
    </row>
    <row r="103" spans="1:9" x14ac:dyDescent="0.2">
      <c r="A103" s="8">
        <v>102</v>
      </c>
      <c r="B103" s="8" t="s">
        <v>430</v>
      </c>
      <c r="C103" s="8" t="s">
        <v>21</v>
      </c>
      <c r="D103" s="8" t="s">
        <v>431</v>
      </c>
      <c r="E103" s="8" t="s">
        <v>102</v>
      </c>
      <c r="F103" s="8" t="s">
        <v>132</v>
      </c>
      <c r="G103" s="8">
        <v>4054.9</v>
      </c>
      <c r="H103" s="8" t="s">
        <v>231</v>
      </c>
      <c r="I103" s="8"/>
    </row>
    <row r="104" spans="1:9" x14ac:dyDescent="0.2">
      <c r="A104" s="8">
        <v>103</v>
      </c>
      <c r="B104" s="8" t="s">
        <v>432</v>
      </c>
      <c r="C104" s="8" t="s">
        <v>21</v>
      </c>
      <c r="D104" s="8" t="s">
        <v>433</v>
      </c>
      <c r="E104" s="8" t="s">
        <v>62</v>
      </c>
      <c r="F104" s="8" t="s">
        <v>146</v>
      </c>
      <c r="G104" s="8">
        <v>138.31</v>
      </c>
      <c r="H104" s="8" t="s">
        <v>231</v>
      </c>
      <c r="I104" s="8"/>
    </row>
    <row r="105" spans="1:9" x14ac:dyDescent="0.2">
      <c r="A105" s="8">
        <v>104</v>
      </c>
      <c r="B105" s="8" t="s">
        <v>434</v>
      </c>
      <c r="C105" s="8" t="s">
        <v>16</v>
      </c>
      <c r="D105" s="8" t="s">
        <v>435</v>
      </c>
      <c r="E105" s="8" t="s">
        <v>41</v>
      </c>
      <c r="F105" s="8" t="s">
        <v>130</v>
      </c>
      <c r="G105" s="8">
        <v>2932.41</v>
      </c>
      <c r="H105" s="8" t="s">
        <v>231</v>
      </c>
      <c r="I105" s="8"/>
    </row>
    <row r="106" spans="1:9" x14ac:dyDescent="0.2">
      <c r="A106" s="8">
        <v>105</v>
      </c>
      <c r="B106" s="8" t="s">
        <v>436</v>
      </c>
      <c r="C106" s="8" t="s">
        <v>16</v>
      </c>
      <c r="D106" s="8" t="s">
        <v>437</v>
      </c>
      <c r="E106" s="8" t="s">
        <v>96</v>
      </c>
      <c r="F106" s="8" t="s">
        <v>165</v>
      </c>
      <c r="G106" s="8">
        <v>357.24</v>
      </c>
      <c r="H106" s="8" t="s">
        <v>231</v>
      </c>
      <c r="I106" s="8"/>
    </row>
    <row r="107" spans="1:9" x14ac:dyDescent="0.2">
      <c r="A107" s="8">
        <v>106</v>
      </c>
      <c r="B107" s="8" t="s">
        <v>438</v>
      </c>
      <c r="C107" s="8" t="s">
        <v>23</v>
      </c>
      <c r="D107" s="8" t="s">
        <v>439</v>
      </c>
      <c r="E107" s="8" t="s">
        <v>54</v>
      </c>
      <c r="F107" s="8" t="s">
        <v>130</v>
      </c>
      <c r="G107" s="8">
        <v>2689.21</v>
      </c>
      <c r="H107" s="8" t="s">
        <v>231</v>
      </c>
      <c r="I107" s="8"/>
    </row>
    <row r="108" spans="1:9" x14ac:dyDescent="0.2">
      <c r="A108" s="8">
        <v>107</v>
      </c>
      <c r="B108" s="8" t="s">
        <v>440</v>
      </c>
      <c r="C108" s="8" t="s">
        <v>23</v>
      </c>
      <c r="D108" s="8" t="s">
        <v>441</v>
      </c>
      <c r="E108" s="8" t="s">
        <v>102</v>
      </c>
      <c r="F108" s="8" t="s">
        <v>115</v>
      </c>
      <c r="G108" s="8">
        <v>306.49</v>
      </c>
      <c r="H108" s="8" t="s">
        <v>231</v>
      </c>
      <c r="I108" s="8"/>
    </row>
    <row r="109" spans="1:9" x14ac:dyDescent="0.2">
      <c r="A109" s="8">
        <v>108</v>
      </c>
      <c r="B109" s="8" t="s">
        <v>442</v>
      </c>
      <c r="C109" s="8" t="s">
        <v>20</v>
      </c>
      <c r="D109" s="8" t="s">
        <v>443</v>
      </c>
      <c r="E109" s="8" t="s">
        <v>54</v>
      </c>
      <c r="F109" s="8" t="s">
        <v>190</v>
      </c>
      <c r="G109" s="8">
        <v>400.74</v>
      </c>
      <c r="H109" s="8" t="s">
        <v>231</v>
      </c>
      <c r="I109" s="8"/>
    </row>
    <row r="110" spans="1:9" x14ac:dyDescent="0.2">
      <c r="A110" s="8">
        <v>109</v>
      </c>
      <c r="B110" s="8" t="s">
        <v>444</v>
      </c>
      <c r="C110" s="8" t="s">
        <v>24</v>
      </c>
      <c r="D110" s="8" t="s">
        <v>445</v>
      </c>
      <c r="E110" s="8" t="s">
        <v>51</v>
      </c>
      <c r="F110" s="8" t="s">
        <v>142</v>
      </c>
      <c r="G110" s="8">
        <v>1122.6600000000001</v>
      </c>
      <c r="H110" s="8" t="s">
        <v>231</v>
      </c>
      <c r="I110" s="8"/>
    </row>
    <row r="111" spans="1:9" x14ac:dyDescent="0.2">
      <c r="A111" s="8">
        <v>110</v>
      </c>
      <c r="B111" s="8" t="s">
        <v>446</v>
      </c>
      <c r="C111" s="8" t="s">
        <v>18</v>
      </c>
      <c r="D111" s="8" t="s">
        <v>329</v>
      </c>
      <c r="E111" s="8" t="s">
        <v>78</v>
      </c>
      <c r="F111" s="8" t="s">
        <v>146</v>
      </c>
      <c r="G111" s="8">
        <v>4149.0600000000004</v>
      </c>
      <c r="H111" s="8" t="s">
        <v>236</v>
      </c>
      <c r="I111" s="8" t="s">
        <v>414</v>
      </c>
    </row>
    <row r="112" spans="1:9" x14ac:dyDescent="0.2">
      <c r="A112" s="8">
        <v>111</v>
      </c>
      <c r="B112" s="8" t="s">
        <v>447</v>
      </c>
      <c r="C112" s="8" t="s">
        <v>22</v>
      </c>
      <c r="D112" s="8" t="s">
        <v>448</v>
      </c>
      <c r="E112" s="8" t="s">
        <v>78</v>
      </c>
      <c r="F112" s="8" t="s">
        <v>154</v>
      </c>
      <c r="G112" s="8">
        <v>1053.47</v>
      </c>
      <c r="H112" s="8" t="s">
        <v>231</v>
      </c>
      <c r="I112" s="8"/>
    </row>
    <row r="113" spans="1:9" x14ac:dyDescent="0.2">
      <c r="A113" s="8">
        <v>112</v>
      </c>
      <c r="B113" s="8" t="s">
        <v>449</v>
      </c>
      <c r="C113" s="8" t="s">
        <v>22</v>
      </c>
      <c r="D113" s="8" t="s">
        <v>343</v>
      </c>
      <c r="E113" s="8" t="s">
        <v>102</v>
      </c>
      <c r="F113" s="8" t="s">
        <v>118</v>
      </c>
      <c r="G113" s="8">
        <v>2409.46</v>
      </c>
      <c r="H113" s="8" t="s">
        <v>236</v>
      </c>
      <c r="I113" s="8" t="s">
        <v>237</v>
      </c>
    </row>
    <row r="114" spans="1:9" x14ac:dyDescent="0.2">
      <c r="A114" s="8">
        <v>113</v>
      </c>
      <c r="B114" s="8" t="s">
        <v>450</v>
      </c>
      <c r="C114" s="8" t="s">
        <v>20</v>
      </c>
      <c r="D114" s="8" t="s">
        <v>350</v>
      </c>
      <c r="E114" s="8" t="s">
        <v>33</v>
      </c>
      <c r="F114" s="8" t="s">
        <v>120</v>
      </c>
      <c r="G114" s="8">
        <v>2701.05</v>
      </c>
      <c r="H114" s="8" t="s">
        <v>231</v>
      </c>
      <c r="I114" s="8"/>
    </row>
    <row r="115" spans="1:9" x14ac:dyDescent="0.2">
      <c r="A115" s="8">
        <v>114</v>
      </c>
      <c r="B115" s="8" t="s">
        <v>451</v>
      </c>
      <c r="C115" s="8" t="s">
        <v>23</v>
      </c>
      <c r="D115" s="8" t="s">
        <v>452</v>
      </c>
      <c r="E115" s="8" t="s">
        <v>98</v>
      </c>
      <c r="F115" s="8" t="s">
        <v>115</v>
      </c>
      <c r="G115" s="8">
        <v>1893.4</v>
      </c>
      <c r="H115" s="8" t="s">
        <v>231</v>
      </c>
      <c r="I115" s="8"/>
    </row>
    <row r="116" spans="1:9" x14ac:dyDescent="0.2">
      <c r="A116" s="8">
        <v>115</v>
      </c>
      <c r="B116" s="8" t="s">
        <v>453</v>
      </c>
      <c r="C116" s="8" t="s">
        <v>20</v>
      </c>
      <c r="D116" s="8" t="s">
        <v>421</v>
      </c>
      <c r="E116" s="8" t="s">
        <v>39</v>
      </c>
      <c r="F116" s="8" t="s">
        <v>132</v>
      </c>
      <c r="G116" s="8">
        <v>903.28</v>
      </c>
      <c r="H116" s="8" t="s">
        <v>236</v>
      </c>
      <c r="I116" s="8" t="s">
        <v>237</v>
      </c>
    </row>
    <row r="117" spans="1:9" x14ac:dyDescent="0.2">
      <c r="A117" s="8">
        <v>116</v>
      </c>
      <c r="B117" s="8" t="s">
        <v>454</v>
      </c>
      <c r="C117" s="8" t="s">
        <v>23</v>
      </c>
      <c r="D117" s="8" t="s">
        <v>455</v>
      </c>
      <c r="E117" s="8" t="s">
        <v>66</v>
      </c>
      <c r="F117" s="8" t="s">
        <v>130</v>
      </c>
      <c r="G117" s="8">
        <v>1292.46</v>
      </c>
      <c r="H117" s="8" t="s">
        <v>248</v>
      </c>
      <c r="I117" s="8"/>
    </row>
    <row r="118" spans="1:9" x14ac:dyDescent="0.2">
      <c r="A118" s="8">
        <v>117</v>
      </c>
      <c r="B118" s="8" t="s">
        <v>456</v>
      </c>
      <c r="C118" s="8" t="s">
        <v>23</v>
      </c>
      <c r="D118" s="8" t="s">
        <v>457</v>
      </c>
      <c r="E118" s="8" t="s">
        <v>74</v>
      </c>
      <c r="F118" s="8" t="s">
        <v>142</v>
      </c>
      <c r="G118" s="8">
        <v>3393.92</v>
      </c>
      <c r="H118" s="8" t="s">
        <v>231</v>
      </c>
      <c r="I118" s="8"/>
    </row>
    <row r="119" spans="1:9" x14ac:dyDescent="0.2">
      <c r="A119" s="8">
        <v>118</v>
      </c>
      <c r="B119" s="8" t="s">
        <v>458</v>
      </c>
      <c r="C119" s="8" t="s">
        <v>18</v>
      </c>
      <c r="D119" s="8" t="s">
        <v>459</v>
      </c>
      <c r="E119" s="8" t="s">
        <v>33</v>
      </c>
      <c r="F119" s="8" t="s">
        <v>182</v>
      </c>
      <c r="G119" s="8">
        <v>2850.42</v>
      </c>
      <c r="H119" s="8" t="s">
        <v>231</v>
      </c>
      <c r="I119" s="8"/>
    </row>
    <row r="120" spans="1:9" x14ac:dyDescent="0.2">
      <c r="A120" s="8">
        <v>119</v>
      </c>
      <c r="B120" s="8" t="s">
        <v>460</v>
      </c>
      <c r="C120" s="8" t="s">
        <v>22</v>
      </c>
      <c r="D120" s="8" t="s">
        <v>461</v>
      </c>
      <c r="E120" s="8" t="s">
        <v>96</v>
      </c>
      <c r="F120" s="8" t="s">
        <v>163</v>
      </c>
      <c r="G120" s="8">
        <v>2630.63</v>
      </c>
      <c r="H120" s="8" t="s">
        <v>248</v>
      </c>
      <c r="I120" s="8"/>
    </row>
    <row r="121" spans="1:9" x14ac:dyDescent="0.2">
      <c r="A121" s="8">
        <v>120</v>
      </c>
      <c r="B121" s="8" t="s">
        <v>462</v>
      </c>
      <c r="C121" s="8" t="s">
        <v>24</v>
      </c>
      <c r="D121" s="8" t="s">
        <v>463</v>
      </c>
      <c r="E121" s="8" t="s">
        <v>86</v>
      </c>
      <c r="F121" s="8" t="s">
        <v>169</v>
      </c>
      <c r="G121" s="8">
        <v>1759.22</v>
      </c>
      <c r="H121" s="8" t="s">
        <v>231</v>
      </c>
      <c r="I121" s="8"/>
    </row>
    <row r="122" spans="1:9" x14ac:dyDescent="0.2">
      <c r="A122" s="8">
        <v>121</v>
      </c>
      <c r="B122" s="8" t="s">
        <v>464</v>
      </c>
      <c r="C122" s="8" t="s">
        <v>16</v>
      </c>
      <c r="D122" s="8" t="s">
        <v>465</v>
      </c>
      <c r="E122" s="8" t="s">
        <v>60</v>
      </c>
      <c r="F122" s="8" t="s">
        <v>150</v>
      </c>
      <c r="G122" s="8">
        <v>634.61</v>
      </c>
      <c r="H122" s="8" t="s">
        <v>231</v>
      </c>
      <c r="I122" s="8"/>
    </row>
    <row r="123" spans="1:9" x14ac:dyDescent="0.2">
      <c r="A123" s="8">
        <v>122</v>
      </c>
      <c r="B123" s="8" t="s">
        <v>466</v>
      </c>
      <c r="C123" s="8" t="s">
        <v>23</v>
      </c>
      <c r="D123" s="8" t="s">
        <v>467</v>
      </c>
      <c r="E123" s="8" t="s">
        <v>102</v>
      </c>
      <c r="F123" s="8" t="s">
        <v>118</v>
      </c>
      <c r="G123" s="8">
        <v>2093.56</v>
      </c>
      <c r="H123" s="8" t="s">
        <v>231</v>
      </c>
      <c r="I123" s="8"/>
    </row>
    <row r="124" spans="1:9" x14ac:dyDescent="0.2">
      <c r="A124" s="8">
        <v>123</v>
      </c>
      <c r="B124" s="8" t="s">
        <v>468</v>
      </c>
      <c r="C124" s="8" t="s">
        <v>20</v>
      </c>
      <c r="D124" s="8" t="s">
        <v>469</v>
      </c>
      <c r="E124" s="8" t="s">
        <v>33</v>
      </c>
      <c r="F124" s="8" t="s">
        <v>111</v>
      </c>
      <c r="G124" s="8">
        <v>3603.73</v>
      </c>
      <c r="H124" s="8" t="s">
        <v>231</v>
      </c>
      <c r="I124" s="8"/>
    </row>
    <row r="125" spans="1:9" x14ac:dyDescent="0.2">
      <c r="A125" s="8">
        <v>124</v>
      </c>
      <c r="B125" s="8" t="s">
        <v>470</v>
      </c>
      <c r="C125" s="8" t="s">
        <v>20</v>
      </c>
      <c r="D125" s="8" t="s">
        <v>423</v>
      </c>
      <c r="E125" s="8" t="s">
        <v>84</v>
      </c>
      <c r="F125" s="8" t="s">
        <v>158</v>
      </c>
      <c r="G125" s="8">
        <v>4068.85</v>
      </c>
      <c r="H125" s="8" t="s">
        <v>248</v>
      </c>
      <c r="I125" s="8"/>
    </row>
    <row r="126" spans="1:9" x14ac:dyDescent="0.2">
      <c r="A126" s="8">
        <v>125</v>
      </c>
      <c r="B126" s="8" t="s">
        <v>471</v>
      </c>
      <c r="C126" s="8" t="s">
        <v>23</v>
      </c>
      <c r="D126" s="8" t="s">
        <v>287</v>
      </c>
      <c r="E126" s="8" t="s">
        <v>35</v>
      </c>
      <c r="F126" s="8" t="s">
        <v>134</v>
      </c>
      <c r="G126" s="8">
        <v>1450.73</v>
      </c>
      <c r="H126" s="8" t="s">
        <v>248</v>
      </c>
      <c r="I126" s="8"/>
    </row>
    <row r="127" spans="1:9" x14ac:dyDescent="0.2">
      <c r="A127" s="8">
        <v>126</v>
      </c>
      <c r="B127" s="8" t="s">
        <v>472</v>
      </c>
      <c r="C127" s="8" t="s">
        <v>18</v>
      </c>
      <c r="D127" s="8" t="s">
        <v>473</v>
      </c>
      <c r="E127" s="8" t="s">
        <v>47</v>
      </c>
      <c r="F127" s="8" t="s">
        <v>142</v>
      </c>
      <c r="G127" s="8">
        <v>3269.27</v>
      </c>
      <c r="H127" s="8" t="s">
        <v>236</v>
      </c>
      <c r="I127" s="8" t="s">
        <v>237</v>
      </c>
    </row>
    <row r="128" spans="1:9" x14ac:dyDescent="0.2">
      <c r="A128" s="8">
        <v>127</v>
      </c>
      <c r="B128" s="8" t="s">
        <v>474</v>
      </c>
      <c r="C128" s="8" t="s">
        <v>22</v>
      </c>
      <c r="D128" s="8" t="s">
        <v>475</v>
      </c>
      <c r="E128" s="8" t="s">
        <v>56</v>
      </c>
      <c r="F128" s="8" t="s">
        <v>152</v>
      </c>
      <c r="G128" s="8">
        <v>2801.86</v>
      </c>
      <c r="H128" s="8" t="s">
        <v>231</v>
      </c>
      <c r="I128" s="8"/>
    </row>
    <row r="129" spans="1:9" x14ac:dyDescent="0.2">
      <c r="A129" s="8">
        <v>128</v>
      </c>
      <c r="B129" s="8" t="s">
        <v>476</v>
      </c>
      <c r="C129" s="8" t="s">
        <v>18</v>
      </c>
      <c r="D129" s="8" t="s">
        <v>475</v>
      </c>
      <c r="E129" s="8" t="s">
        <v>54</v>
      </c>
      <c r="F129" s="8" t="s">
        <v>150</v>
      </c>
      <c r="G129" s="8">
        <v>291.14999999999998</v>
      </c>
      <c r="H129" s="8" t="s">
        <v>236</v>
      </c>
      <c r="I129" s="8" t="s">
        <v>348</v>
      </c>
    </row>
    <row r="130" spans="1:9" x14ac:dyDescent="0.2">
      <c r="A130" s="8">
        <v>129</v>
      </c>
      <c r="B130" s="8" t="s">
        <v>477</v>
      </c>
      <c r="C130" s="8" t="s">
        <v>16</v>
      </c>
      <c r="D130" s="8" t="s">
        <v>478</v>
      </c>
      <c r="E130" s="8" t="s">
        <v>78</v>
      </c>
      <c r="F130" s="8" t="s">
        <v>156</v>
      </c>
      <c r="G130" s="8">
        <v>988.89</v>
      </c>
      <c r="H130" s="8" t="s">
        <v>231</v>
      </c>
      <c r="I130" s="8"/>
    </row>
    <row r="131" spans="1:9" x14ac:dyDescent="0.2">
      <c r="A131" s="8">
        <v>130</v>
      </c>
      <c r="B131" s="8" t="s">
        <v>479</v>
      </c>
      <c r="C131" s="8" t="s">
        <v>21</v>
      </c>
      <c r="D131" s="8" t="s">
        <v>480</v>
      </c>
      <c r="E131" s="8" t="s">
        <v>96</v>
      </c>
      <c r="F131" s="8" t="s">
        <v>163</v>
      </c>
      <c r="G131" s="8">
        <v>3570.11</v>
      </c>
      <c r="H131" s="8" t="s">
        <v>231</v>
      </c>
      <c r="I131" s="8"/>
    </row>
    <row r="132" spans="1:9" x14ac:dyDescent="0.2">
      <c r="A132" s="8">
        <v>131</v>
      </c>
      <c r="B132" s="8" t="s">
        <v>481</v>
      </c>
      <c r="C132" s="8" t="s">
        <v>16</v>
      </c>
      <c r="D132" s="8" t="s">
        <v>482</v>
      </c>
      <c r="E132" s="8" t="s">
        <v>102</v>
      </c>
      <c r="F132" s="8" t="s">
        <v>120</v>
      </c>
      <c r="G132" s="8">
        <v>686.88</v>
      </c>
      <c r="H132" s="8" t="s">
        <v>231</v>
      </c>
      <c r="I132" s="8"/>
    </row>
    <row r="133" spans="1:9" x14ac:dyDescent="0.2">
      <c r="A133" s="8">
        <v>132</v>
      </c>
      <c r="B133" s="8" t="s">
        <v>483</v>
      </c>
      <c r="C133" s="8" t="s">
        <v>16</v>
      </c>
      <c r="D133" s="8" t="s">
        <v>484</v>
      </c>
      <c r="E133" s="8" t="s">
        <v>90</v>
      </c>
      <c r="F133" s="8" t="s">
        <v>169</v>
      </c>
      <c r="G133" s="8">
        <v>2572.39</v>
      </c>
      <c r="H133" s="8" t="s">
        <v>231</v>
      </c>
      <c r="I133" s="8"/>
    </row>
    <row r="134" spans="1:9" x14ac:dyDescent="0.2">
      <c r="A134" s="8">
        <v>133</v>
      </c>
      <c r="B134" s="8" t="s">
        <v>485</v>
      </c>
      <c r="C134" s="8" t="s">
        <v>21</v>
      </c>
      <c r="D134" s="8" t="s">
        <v>486</v>
      </c>
      <c r="E134" s="8" t="s">
        <v>92</v>
      </c>
      <c r="F134" s="8" t="s">
        <v>165</v>
      </c>
      <c r="G134" s="8">
        <v>1473.09</v>
      </c>
      <c r="H134" s="8" t="s">
        <v>231</v>
      </c>
      <c r="I134" s="8"/>
    </row>
    <row r="135" spans="1:9" x14ac:dyDescent="0.2">
      <c r="A135" s="8">
        <v>134</v>
      </c>
      <c r="B135" s="8" t="s">
        <v>487</v>
      </c>
      <c r="C135" s="8" t="s">
        <v>18</v>
      </c>
      <c r="D135" s="8" t="s">
        <v>488</v>
      </c>
      <c r="E135" s="8" t="s">
        <v>39</v>
      </c>
      <c r="F135" s="8" t="s">
        <v>130</v>
      </c>
      <c r="G135" s="8">
        <v>4008.57</v>
      </c>
      <c r="H135" s="8" t="s">
        <v>236</v>
      </c>
      <c r="I135" s="8" t="s">
        <v>237</v>
      </c>
    </row>
    <row r="136" spans="1:9" x14ac:dyDescent="0.2">
      <c r="A136" s="8">
        <v>135</v>
      </c>
      <c r="B136" s="8" t="s">
        <v>489</v>
      </c>
      <c r="C136" s="8" t="s">
        <v>24</v>
      </c>
      <c r="D136" s="8" t="s">
        <v>490</v>
      </c>
      <c r="E136" s="8" t="s">
        <v>35</v>
      </c>
      <c r="F136" s="8" t="s">
        <v>111</v>
      </c>
      <c r="G136" s="8">
        <v>3122.53</v>
      </c>
      <c r="H136" s="8" t="s">
        <v>231</v>
      </c>
      <c r="I136" s="8"/>
    </row>
    <row r="137" spans="1:9" x14ac:dyDescent="0.2">
      <c r="A137" s="8">
        <v>136</v>
      </c>
      <c r="B137" s="8" t="s">
        <v>491</v>
      </c>
      <c r="C137" s="8" t="s">
        <v>23</v>
      </c>
      <c r="D137" s="8" t="s">
        <v>492</v>
      </c>
      <c r="E137" s="8" t="s">
        <v>90</v>
      </c>
      <c r="F137" s="8" t="s">
        <v>169</v>
      </c>
      <c r="G137" s="8">
        <v>2819.53</v>
      </c>
      <c r="H137" s="8" t="s">
        <v>231</v>
      </c>
      <c r="I137" s="8"/>
    </row>
    <row r="138" spans="1:9" x14ac:dyDescent="0.2">
      <c r="A138" s="8">
        <v>137</v>
      </c>
      <c r="B138" s="8" t="s">
        <v>493</v>
      </c>
      <c r="C138" s="8" t="s">
        <v>18</v>
      </c>
      <c r="D138" s="8" t="s">
        <v>494</v>
      </c>
      <c r="E138" s="8" t="s">
        <v>98</v>
      </c>
      <c r="F138" s="8" t="s">
        <v>132</v>
      </c>
      <c r="G138" s="8">
        <v>502.35</v>
      </c>
      <c r="H138" s="8" t="s">
        <v>231</v>
      </c>
      <c r="I138" s="8"/>
    </row>
    <row r="139" spans="1:9" x14ac:dyDescent="0.2">
      <c r="A139" s="8">
        <v>138</v>
      </c>
      <c r="B139" s="8" t="s">
        <v>495</v>
      </c>
      <c r="C139" s="8" t="s">
        <v>22</v>
      </c>
      <c r="D139" s="8" t="s">
        <v>496</v>
      </c>
      <c r="E139" s="8" t="s">
        <v>74</v>
      </c>
      <c r="F139" s="8" t="s">
        <v>130</v>
      </c>
      <c r="G139" s="8">
        <v>3220.75</v>
      </c>
      <c r="H139" s="8" t="s">
        <v>236</v>
      </c>
      <c r="I139" s="8" t="s">
        <v>414</v>
      </c>
    </row>
    <row r="140" spans="1:9" x14ac:dyDescent="0.2">
      <c r="A140" s="8">
        <v>139</v>
      </c>
      <c r="B140" s="8" t="s">
        <v>497</v>
      </c>
      <c r="C140" s="8" t="s">
        <v>18</v>
      </c>
      <c r="D140" s="8" t="s">
        <v>498</v>
      </c>
      <c r="E140" s="8" t="s">
        <v>86</v>
      </c>
      <c r="F140" s="8" t="s">
        <v>167</v>
      </c>
      <c r="G140" s="8">
        <v>2973.63</v>
      </c>
      <c r="H140" s="8" t="s">
        <v>231</v>
      </c>
      <c r="I140" s="8"/>
    </row>
    <row r="141" spans="1:9" x14ac:dyDescent="0.2">
      <c r="A141" s="8">
        <v>140</v>
      </c>
      <c r="B141" s="8" t="s">
        <v>499</v>
      </c>
      <c r="C141" s="8" t="s">
        <v>22</v>
      </c>
      <c r="D141" s="8" t="s">
        <v>411</v>
      </c>
      <c r="E141" s="8" t="s">
        <v>29</v>
      </c>
      <c r="F141" s="8" t="s">
        <v>113</v>
      </c>
      <c r="G141" s="8">
        <v>660.23</v>
      </c>
      <c r="H141" s="8" t="s">
        <v>231</v>
      </c>
      <c r="I141" s="8"/>
    </row>
    <row r="142" spans="1:9" x14ac:dyDescent="0.2">
      <c r="A142" s="8">
        <v>141</v>
      </c>
      <c r="B142" s="8" t="s">
        <v>500</v>
      </c>
      <c r="C142" s="8" t="s">
        <v>18</v>
      </c>
      <c r="D142" s="8" t="s">
        <v>484</v>
      </c>
      <c r="E142" s="8" t="s">
        <v>98</v>
      </c>
      <c r="F142" s="8" t="s">
        <v>158</v>
      </c>
      <c r="G142" s="8">
        <v>724.31</v>
      </c>
      <c r="H142" s="8" t="s">
        <v>236</v>
      </c>
      <c r="I142" s="8" t="s">
        <v>237</v>
      </c>
    </row>
    <row r="143" spans="1:9" x14ac:dyDescent="0.2">
      <c r="A143" s="8">
        <v>142</v>
      </c>
      <c r="B143" s="8" t="s">
        <v>501</v>
      </c>
      <c r="C143" s="8" t="s">
        <v>23</v>
      </c>
      <c r="D143" s="8" t="s">
        <v>260</v>
      </c>
      <c r="E143" s="8" t="s">
        <v>86</v>
      </c>
      <c r="F143" s="8" t="s">
        <v>167</v>
      </c>
      <c r="G143" s="8">
        <v>2623.58</v>
      </c>
      <c r="H143" s="8" t="s">
        <v>231</v>
      </c>
      <c r="I143" s="8"/>
    </row>
    <row r="144" spans="1:9" x14ac:dyDescent="0.2">
      <c r="A144" s="8">
        <v>143</v>
      </c>
      <c r="B144" s="8" t="s">
        <v>502</v>
      </c>
      <c r="C144" s="8" t="s">
        <v>18</v>
      </c>
      <c r="D144" s="8" t="s">
        <v>503</v>
      </c>
      <c r="E144" s="8" t="s">
        <v>96</v>
      </c>
      <c r="F144" s="8" t="s">
        <v>165</v>
      </c>
      <c r="G144" s="8">
        <v>964.22</v>
      </c>
      <c r="H144" s="8" t="s">
        <v>231</v>
      </c>
      <c r="I144" s="8"/>
    </row>
    <row r="145" spans="1:9" x14ac:dyDescent="0.2">
      <c r="A145" s="8">
        <v>144</v>
      </c>
      <c r="B145" s="8" t="s">
        <v>504</v>
      </c>
      <c r="C145" s="8" t="s">
        <v>24</v>
      </c>
      <c r="D145" s="8" t="s">
        <v>505</v>
      </c>
      <c r="E145" s="8" t="s">
        <v>39</v>
      </c>
      <c r="F145" s="8" t="s">
        <v>137</v>
      </c>
      <c r="G145" s="8">
        <v>1347.23</v>
      </c>
      <c r="H145" s="8" t="s">
        <v>231</v>
      </c>
      <c r="I145" s="8"/>
    </row>
    <row r="146" spans="1:9" x14ac:dyDescent="0.2">
      <c r="A146" s="8">
        <v>145</v>
      </c>
      <c r="B146" s="8" t="s">
        <v>506</v>
      </c>
      <c r="C146" s="8" t="s">
        <v>23</v>
      </c>
      <c r="D146" s="8" t="s">
        <v>507</v>
      </c>
      <c r="E146" s="8" t="s">
        <v>29</v>
      </c>
      <c r="F146" s="8" t="s">
        <v>111</v>
      </c>
      <c r="G146" s="8">
        <v>641.09</v>
      </c>
      <c r="H146" s="8" t="s">
        <v>231</v>
      </c>
      <c r="I146" s="8"/>
    </row>
    <row r="147" spans="1:9" x14ac:dyDescent="0.2">
      <c r="A147" s="8">
        <v>146</v>
      </c>
      <c r="B147" s="8" t="s">
        <v>508</v>
      </c>
      <c r="C147" s="8" t="s">
        <v>20</v>
      </c>
      <c r="D147" s="8" t="s">
        <v>509</v>
      </c>
      <c r="E147" s="8" t="s">
        <v>33</v>
      </c>
      <c r="F147" s="8" t="s">
        <v>185</v>
      </c>
      <c r="G147" s="8">
        <v>1643.36</v>
      </c>
      <c r="H147" s="8" t="s">
        <v>231</v>
      </c>
      <c r="I147" s="8"/>
    </row>
    <row r="148" spans="1:9" x14ac:dyDescent="0.2">
      <c r="A148" s="8">
        <v>147</v>
      </c>
      <c r="B148" s="8" t="s">
        <v>510</v>
      </c>
      <c r="C148" s="8" t="s">
        <v>21</v>
      </c>
      <c r="D148" s="8" t="s">
        <v>511</v>
      </c>
      <c r="E148" s="8" t="s">
        <v>96</v>
      </c>
      <c r="F148" s="8" t="s">
        <v>165</v>
      </c>
      <c r="G148" s="8">
        <v>152.31</v>
      </c>
      <c r="H148" s="8" t="s">
        <v>236</v>
      </c>
      <c r="I148" s="8" t="s">
        <v>237</v>
      </c>
    </row>
    <row r="149" spans="1:9" x14ac:dyDescent="0.2">
      <c r="A149" s="8">
        <v>148</v>
      </c>
      <c r="B149" s="8" t="s">
        <v>512</v>
      </c>
      <c r="C149" s="8" t="s">
        <v>22</v>
      </c>
      <c r="D149" s="8" t="s">
        <v>243</v>
      </c>
      <c r="E149" s="8" t="s">
        <v>90</v>
      </c>
      <c r="F149" s="8" t="s">
        <v>169</v>
      </c>
      <c r="G149" s="8">
        <v>1745.76</v>
      </c>
      <c r="H149" s="8" t="s">
        <v>248</v>
      </c>
      <c r="I149" s="8"/>
    </row>
    <row r="150" spans="1:9" x14ac:dyDescent="0.2">
      <c r="A150" s="8">
        <v>149</v>
      </c>
      <c r="B150" s="8" t="s">
        <v>513</v>
      </c>
      <c r="C150" s="8" t="s">
        <v>23</v>
      </c>
      <c r="D150" s="8" t="s">
        <v>514</v>
      </c>
      <c r="E150" s="8" t="s">
        <v>90</v>
      </c>
      <c r="F150" s="8" t="s">
        <v>163</v>
      </c>
      <c r="G150" s="8">
        <v>511.69</v>
      </c>
      <c r="H150" s="8" t="s">
        <v>236</v>
      </c>
      <c r="I150" s="8" t="s">
        <v>414</v>
      </c>
    </row>
    <row r="151" spans="1:9" x14ac:dyDescent="0.2">
      <c r="A151" s="8">
        <v>150</v>
      </c>
      <c r="B151" s="8" t="s">
        <v>515</v>
      </c>
      <c r="C151" s="8" t="s">
        <v>23</v>
      </c>
      <c r="D151" s="8" t="s">
        <v>516</v>
      </c>
      <c r="E151" s="8" t="s">
        <v>72</v>
      </c>
      <c r="F151" s="8" t="s">
        <v>171</v>
      </c>
      <c r="G151" s="8">
        <v>768.55</v>
      </c>
      <c r="H151" s="8" t="s">
        <v>231</v>
      </c>
      <c r="I151" s="8"/>
    </row>
    <row r="152" spans="1:9" x14ac:dyDescent="0.2">
      <c r="A152" s="8">
        <v>151</v>
      </c>
      <c r="B152" s="8" t="s">
        <v>517</v>
      </c>
      <c r="C152" s="8" t="s">
        <v>20</v>
      </c>
      <c r="D152" s="8" t="s">
        <v>518</v>
      </c>
      <c r="E152" s="8" t="s">
        <v>80</v>
      </c>
      <c r="F152" s="8" t="s">
        <v>175</v>
      </c>
      <c r="G152" s="8">
        <v>499.07</v>
      </c>
      <c r="H152" s="8" t="s">
        <v>236</v>
      </c>
      <c r="I152" s="8" t="s">
        <v>327</v>
      </c>
    </row>
    <row r="153" spans="1:9" x14ac:dyDescent="0.2">
      <c r="A153" s="8">
        <v>152</v>
      </c>
      <c r="B153" s="8" t="s">
        <v>519</v>
      </c>
      <c r="C153" s="8" t="s">
        <v>23</v>
      </c>
      <c r="D153" s="8" t="s">
        <v>520</v>
      </c>
      <c r="E153" s="8" t="s">
        <v>92</v>
      </c>
      <c r="F153" s="8" t="s">
        <v>165</v>
      </c>
      <c r="G153" s="8">
        <v>2400.41</v>
      </c>
      <c r="H153" s="8" t="s">
        <v>231</v>
      </c>
      <c r="I153" s="8"/>
    </row>
    <row r="154" spans="1:9" x14ac:dyDescent="0.2">
      <c r="A154" s="8">
        <v>153</v>
      </c>
      <c r="B154" s="8" t="s">
        <v>521</v>
      </c>
      <c r="C154" s="8" t="s">
        <v>22</v>
      </c>
      <c r="D154" s="8" t="s">
        <v>522</v>
      </c>
      <c r="E154" s="8" t="s">
        <v>90</v>
      </c>
      <c r="F154" s="8" t="s">
        <v>167</v>
      </c>
      <c r="G154" s="8">
        <v>2009.3</v>
      </c>
      <c r="H154" s="8" t="s">
        <v>231</v>
      </c>
      <c r="I154" s="8"/>
    </row>
    <row r="155" spans="1:9" x14ac:dyDescent="0.2">
      <c r="A155" s="8">
        <v>154</v>
      </c>
      <c r="B155" s="8" t="s">
        <v>523</v>
      </c>
      <c r="C155" s="8" t="s">
        <v>21</v>
      </c>
      <c r="D155" s="8" t="s">
        <v>524</v>
      </c>
      <c r="E155" s="8" t="s">
        <v>86</v>
      </c>
      <c r="F155" s="8" t="s">
        <v>167</v>
      </c>
      <c r="G155" s="8">
        <v>1939.14</v>
      </c>
      <c r="H155" s="8" t="s">
        <v>231</v>
      </c>
      <c r="I155" s="8"/>
    </row>
    <row r="156" spans="1:9" x14ac:dyDescent="0.2">
      <c r="A156" s="8">
        <v>155</v>
      </c>
      <c r="B156" s="8" t="s">
        <v>525</v>
      </c>
      <c r="C156" s="8" t="s">
        <v>16</v>
      </c>
      <c r="D156" s="8" t="s">
        <v>526</v>
      </c>
      <c r="E156" s="8" t="s">
        <v>35</v>
      </c>
      <c r="F156" s="8" t="s">
        <v>137</v>
      </c>
      <c r="G156" s="8">
        <v>2361.56</v>
      </c>
      <c r="H156" s="8" t="s">
        <v>231</v>
      </c>
      <c r="I156" s="8"/>
    </row>
    <row r="157" spans="1:9" x14ac:dyDescent="0.2">
      <c r="A157" s="8">
        <v>156</v>
      </c>
      <c r="B157" s="8" t="s">
        <v>527</v>
      </c>
      <c r="C157" s="8" t="s">
        <v>20</v>
      </c>
      <c r="D157" s="8" t="s">
        <v>528</v>
      </c>
      <c r="E157" s="8" t="s">
        <v>74</v>
      </c>
      <c r="F157" s="8" t="s">
        <v>156</v>
      </c>
      <c r="G157" s="8">
        <v>4025.6</v>
      </c>
      <c r="H157" s="8" t="s">
        <v>231</v>
      </c>
      <c r="I157" s="8"/>
    </row>
    <row r="158" spans="1:9" x14ac:dyDescent="0.2">
      <c r="A158" s="8">
        <v>157</v>
      </c>
      <c r="B158" s="8" t="s">
        <v>529</v>
      </c>
      <c r="C158" s="8" t="s">
        <v>24</v>
      </c>
      <c r="D158" s="8" t="s">
        <v>530</v>
      </c>
      <c r="E158" s="8" t="s">
        <v>62</v>
      </c>
      <c r="F158" s="8" t="s">
        <v>127</v>
      </c>
      <c r="G158" s="8">
        <v>1880.75</v>
      </c>
      <c r="H158" s="8" t="s">
        <v>231</v>
      </c>
      <c r="I158" s="8"/>
    </row>
    <row r="159" spans="1:9" x14ac:dyDescent="0.2">
      <c r="A159" s="8">
        <v>158</v>
      </c>
      <c r="B159" s="8" t="s">
        <v>531</v>
      </c>
      <c r="C159" s="8" t="s">
        <v>21</v>
      </c>
      <c r="D159" s="8" t="s">
        <v>532</v>
      </c>
      <c r="E159" s="8" t="s">
        <v>45</v>
      </c>
      <c r="F159" s="8" t="s">
        <v>130</v>
      </c>
      <c r="G159" s="8">
        <v>3269.67</v>
      </c>
      <c r="H159" s="8" t="s">
        <v>231</v>
      </c>
      <c r="I159" s="8"/>
    </row>
    <row r="160" spans="1:9" x14ac:dyDescent="0.2">
      <c r="A160" s="8">
        <v>159</v>
      </c>
      <c r="B160" s="8" t="s">
        <v>533</v>
      </c>
      <c r="C160" s="8" t="s">
        <v>16</v>
      </c>
      <c r="D160" s="8" t="s">
        <v>534</v>
      </c>
      <c r="E160" s="8" t="s">
        <v>96</v>
      </c>
      <c r="F160" s="8" t="s">
        <v>123</v>
      </c>
      <c r="G160" s="8">
        <v>2873.31</v>
      </c>
      <c r="H160" s="8" t="s">
        <v>236</v>
      </c>
      <c r="I160" s="8" t="s">
        <v>327</v>
      </c>
    </row>
    <row r="161" spans="1:9" x14ac:dyDescent="0.2">
      <c r="A161" s="8">
        <v>160</v>
      </c>
      <c r="B161" s="8" t="s">
        <v>535</v>
      </c>
      <c r="C161" s="8" t="s">
        <v>20</v>
      </c>
      <c r="D161" s="8" t="s">
        <v>536</v>
      </c>
      <c r="E161" s="8" t="s">
        <v>86</v>
      </c>
      <c r="F161" s="8" t="s">
        <v>169</v>
      </c>
      <c r="G161" s="8">
        <v>2529.5500000000002</v>
      </c>
      <c r="H161" s="8" t="s">
        <v>248</v>
      </c>
      <c r="I161" s="8"/>
    </row>
    <row r="162" spans="1:9" x14ac:dyDescent="0.2">
      <c r="A162" s="8">
        <v>161</v>
      </c>
      <c r="B162" s="8" t="s">
        <v>537</v>
      </c>
      <c r="C162" s="8" t="s">
        <v>22</v>
      </c>
      <c r="D162" s="8" t="s">
        <v>505</v>
      </c>
      <c r="E162" s="8" t="s">
        <v>72</v>
      </c>
      <c r="F162" s="8" t="s">
        <v>125</v>
      </c>
      <c r="G162" s="8">
        <v>2739.85</v>
      </c>
      <c r="H162" s="8" t="s">
        <v>231</v>
      </c>
      <c r="I162" s="8"/>
    </row>
    <row r="163" spans="1:9" x14ac:dyDescent="0.2">
      <c r="A163" s="8">
        <v>162</v>
      </c>
      <c r="B163" s="8" t="s">
        <v>538</v>
      </c>
      <c r="C163" s="8" t="s">
        <v>23</v>
      </c>
      <c r="D163" s="8" t="s">
        <v>539</v>
      </c>
      <c r="E163" s="8" t="s">
        <v>66</v>
      </c>
      <c r="F163" s="8" t="s">
        <v>127</v>
      </c>
      <c r="G163" s="8">
        <v>2080.87</v>
      </c>
      <c r="H163" s="8" t="s">
        <v>231</v>
      </c>
      <c r="I163" s="8"/>
    </row>
    <row r="164" spans="1:9" x14ac:dyDescent="0.2">
      <c r="A164" s="8">
        <v>163</v>
      </c>
      <c r="B164" s="8" t="s">
        <v>540</v>
      </c>
      <c r="C164" s="8" t="s">
        <v>23</v>
      </c>
      <c r="D164" s="8" t="s">
        <v>262</v>
      </c>
      <c r="E164" s="8" t="s">
        <v>39</v>
      </c>
      <c r="F164" s="8" t="s">
        <v>187</v>
      </c>
      <c r="G164" s="8">
        <v>2301.5500000000002</v>
      </c>
      <c r="H164" s="8" t="s">
        <v>236</v>
      </c>
      <c r="I164" s="8" t="s">
        <v>348</v>
      </c>
    </row>
    <row r="165" spans="1:9" x14ac:dyDescent="0.2">
      <c r="A165" s="8">
        <v>164</v>
      </c>
      <c r="B165" s="8" t="s">
        <v>541</v>
      </c>
      <c r="C165" s="8" t="s">
        <v>20</v>
      </c>
      <c r="D165" s="8" t="s">
        <v>542</v>
      </c>
      <c r="E165" s="8" t="s">
        <v>86</v>
      </c>
      <c r="F165" s="8" t="s">
        <v>167</v>
      </c>
      <c r="G165" s="8">
        <v>3504.3</v>
      </c>
      <c r="H165" s="8" t="s">
        <v>231</v>
      </c>
      <c r="I165" s="8"/>
    </row>
    <row r="166" spans="1:9" x14ac:dyDescent="0.2">
      <c r="A166" s="8">
        <v>165</v>
      </c>
      <c r="B166" s="8" t="s">
        <v>543</v>
      </c>
      <c r="C166" s="8" t="s">
        <v>24</v>
      </c>
      <c r="D166" s="8" t="s">
        <v>544</v>
      </c>
      <c r="E166" s="8" t="s">
        <v>45</v>
      </c>
      <c r="F166" s="8" t="s">
        <v>111</v>
      </c>
      <c r="G166" s="8">
        <v>3043.29</v>
      </c>
      <c r="H166" s="8" t="s">
        <v>248</v>
      </c>
      <c r="I166" s="8"/>
    </row>
    <row r="167" spans="1:9" x14ac:dyDescent="0.2">
      <c r="A167" s="8">
        <v>166</v>
      </c>
      <c r="B167" s="8" t="s">
        <v>545</v>
      </c>
      <c r="C167" s="8" t="s">
        <v>23</v>
      </c>
      <c r="D167" s="8" t="s">
        <v>452</v>
      </c>
      <c r="E167" s="8" t="s">
        <v>102</v>
      </c>
      <c r="F167" s="8" t="s">
        <v>115</v>
      </c>
      <c r="G167" s="8">
        <v>3310.53</v>
      </c>
      <c r="H167" s="8" t="s">
        <v>248</v>
      </c>
      <c r="I167" s="8"/>
    </row>
    <row r="168" spans="1:9" x14ac:dyDescent="0.2">
      <c r="A168" s="8">
        <v>167</v>
      </c>
      <c r="B168" s="8" t="s">
        <v>546</v>
      </c>
      <c r="C168" s="8" t="s">
        <v>16</v>
      </c>
      <c r="D168" s="8" t="s">
        <v>547</v>
      </c>
      <c r="E168" s="8" t="s">
        <v>96</v>
      </c>
      <c r="F168" s="8" t="s">
        <v>185</v>
      </c>
      <c r="G168" s="8">
        <v>2250.77</v>
      </c>
      <c r="H168" s="8" t="s">
        <v>248</v>
      </c>
      <c r="I168" s="8"/>
    </row>
    <row r="169" spans="1:9" x14ac:dyDescent="0.2">
      <c r="A169" s="8">
        <v>168</v>
      </c>
      <c r="B169" s="8" t="s">
        <v>548</v>
      </c>
      <c r="C169" s="8" t="s">
        <v>23</v>
      </c>
      <c r="D169" s="8" t="s">
        <v>549</v>
      </c>
      <c r="E169" s="8" t="s">
        <v>86</v>
      </c>
      <c r="F169" s="8" t="s">
        <v>167</v>
      </c>
      <c r="G169" s="8">
        <v>1606.25</v>
      </c>
      <c r="H169" s="8" t="s">
        <v>248</v>
      </c>
      <c r="I169" s="8"/>
    </row>
    <row r="170" spans="1:9" x14ac:dyDescent="0.2">
      <c r="A170" s="8">
        <v>169</v>
      </c>
      <c r="B170" s="8" t="s">
        <v>550</v>
      </c>
      <c r="C170" s="8" t="s">
        <v>18</v>
      </c>
      <c r="D170" s="8" t="s">
        <v>551</v>
      </c>
      <c r="E170" s="8" t="s">
        <v>80</v>
      </c>
      <c r="F170" s="8" t="s">
        <v>161</v>
      </c>
      <c r="G170" s="8">
        <v>1928.44</v>
      </c>
      <c r="H170" s="8" t="s">
        <v>231</v>
      </c>
      <c r="I170" s="8"/>
    </row>
    <row r="171" spans="1:9" x14ac:dyDescent="0.2">
      <c r="A171" s="8">
        <v>170</v>
      </c>
      <c r="B171" s="8" t="s">
        <v>552</v>
      </c>
      <c r="C171" s="8" t="s">
        <v>21</v>
      </c>
      <c r="D171" s="8" t="s">
        <v>354</v>
      </c>
      <c r="E171" s="8" t="s">
        <v>35</v>
      </c>
      <c r="F171" s="8" t="s">
        <v>130</v>
      </c>
      <c r="G171" s="8">
        <v>294.68</v>
      </c>
      <c r="H171" s="8" t="s">
        <v>231</v>
      </c>
      <c r="I171" s="8"/>
    </row>
    <row r="172" spans="1:9" x14ac:dyDescent="0.2">
      <c r="A172" s="8">
        <v>171</v>
      </c>
      <c r="B172" s="8" t="s">
        <v>553</v>
      </c>
      <c r="C172" s="8" t="s">
        <v>22</v>
      </c>
      <c r="D172" s="8" t="s">
        <v>554</v>
      </c>
      <c r="E172" s="8" t="s">
        <v>39</v>
      </c>
      <c r="F172" s="8" t="s">
        <v>107</v>
      </c>
      <c r="G172" s="8">
        <v>3536.6</v>
      </c>
      <c r="H172" s="8" t="s">
        <v>231</v>
      </c>
      <c r="I172" s="8"/>
    </row>
    <row r="173" spans="1:9" x14ac:dyDescent="0.2">
      <c r="A173" s="8">
        <v>172</v>
      </c>
      <c r="B173" s="8" t="s">
        <v>555</v>
      </c>
      <c r="C173" s="8" t="s">
        <v>23</v>
      </c>
      <c r="D173" s="8" t="s">
        <v>230</v>
      </c>
      <c r="E173" s="8" t="s">
        <v>41</v>
      </c>
      <c r="F173" s="8" t="s">
        <v>130</v>
      </c>
      <c r="G173" s="8">
        <v>2985.34</v>
      </c>
      <c r="H173" s="8" t="s">
        <v>231</v>
      </c>
      <c r="I173" s="8"/>
    </row>
    <row r="174" spans="1:9" x14ac:dyDescent="0.2">
      <c r="A174" s="8">
        <v>173</v>
      </c>
      <c r="B174" s="8" t="s">
        <v>556</v>
      </c>
      <c r="C174" s="8" t="s">
        <v>16</v>
      </c>
      <c r="D174" s="8" t="s">
        <v>557</v>
      </c>
      <c r="E174" s="8" t="s">
        <v>35</v>
      </c>
      <c r="F174" s="8" t="s">
        <v>150</v>
      </c>
      <c r="G174" s="8">
        <v>3953.43</v>
      </c>
      <c r="H174" s="8" t="s">
        <v>236</v>
      </c>
      <c r="I174" s="8" t="s">
        <v>414</v>
      </c>
    </row>
    <row r="175" spans="1:9" x14ac:dyDescent="0.2">
      <c r="A175" s="8">
        <v>174</v>
      </c>
      <c r="B175" s="8" t="s">
        <v>558</v>
      </c>
      <c r="C175" s="8" t="s">
        <v>20</v>
      </c>
      <c r="D175" s="8" t="s">
        <v>559</v>
      </c>
      <c r="E175" s="8" t="s">
        <v>56</v>
      </c>
      <c r="F175" s="8" t="s">
        <v>161</v>
      </c>
      <c r="G175" s="8">
        <v>1806.78</v>
      </c>
      <c r="H175" s="8" t="s">
        <v>236</v>
      </c>
      <c r="I175" s="8" t="s">
        <v>414</v>
      </c>
    </row>
    <row r="176" spans="1:9" x14ac:dyDescent="0.2">
      <c r="A176" s="8">
        <v>175</v>
      </c>
      <c r="B176" s="8" t="s">
        <v>560</v>
      </c>
      <c r="C176" s="8" t="s">
        <v>21</v>
      </c>
      <c r="D176" s="8" t="s">
        <v>561</v>
      </c>
      <c r="E176" s="8" t="s">
        <v>74</v>
      </c>
      <c r="F176" s="8" t="s">
        <v>158</v>
      </c>
      <c r="G176" s="8">
        <v>81.45</v>
      </c>
      <c r="H176" s="8" t="s">
        <v>236</v>
      </c>
      <c r="I176" s="8" t="s">
        <v>414</v>
      </c>
    </row>
    <row r="177" spans="1:9" x14ac:dyDescent="0.2">
      <c r="A177" s="8">
        <v>176</v>
      </c>
      <c r="B177" s="8" t="s">
        <v>562</v>
      </c>
      <c r="C177" s="8" t="s">
        <v>16</v>
      </c>
      <c r="D177" s="8" t="s">
        <v>289</v>
      </c>
      <c r="E177" s="8" t="s">
        <v>92</v>
      </c>
      <c r="F177" s="8" t="s">
        <v>190</v>
      </c>
      <c r="G177" s="8">
        <v>2319.34</v>
      </c>
      <c r="H177" s="8" t="s">
        <v>236</v>
      </c>
      <c r="I177" s="8" t="s">
        <v>348</v>
      </c>
    </row>
    <row r="178" spans="1:9" x14ac:dyDescent="0.2">
      <c r="A178" s="8">
        <v>177</v>
      </c>
      <c r="B178" s="8" t="s">
        <v>563</v>
      </c>
      <c r="C178" s="8" t="s">
        <v>24</v>
      </c>
      <c r="D178" s="8" t="s">
        <v>564</v>
      </c>
      <c r="E178" s="8" t="s">
        <v>74</v>
      </c>
      <c r="F178" s="8" t="s">
        <v>156</v>
      </c>
      <c r="G178" s="8">
        <v>142</v>
      </c>
      <c r="H178" s="8" t="s">
        <v>231</v>
      </c>
      <c r="I178" s="8"/>
    </row>
    <row r="179" spans="1:9" x14ac:dyDescent="0.2">
      <c r="A179" s="8">
        <v>178</v>
      </c>
      <c r="B179" s="8" t="s">
        <v>565</v>
      </c>
      <c r="C179" s="8" t="s">
        <v>18</v>
      </c>
      <c r="D179" s="8" t="s">
        <v>566</v>
      </c>
      <c r="E179" s="8" t="s">
        <v>98</v>
      </c>
      <c r="F179" s="8" t="s">
        <v>127</v>
      </c>
      <c r="G179" s="8">
        <v>2327.31</v>
      </c>
      <c r="H179" s="8" t="s">
        <v>236</v>
      </c>
      <c r="I179" s="8" t="s">
        <v>237</v>
      </c>
    </row>
    <row r="180" spans="1:9" x14ac:dyDescent="0.2">
      <c r="A180" s="8">
        <v>179</v>
      </c>
      <c r="B180" s="8" t="s">
        <v>567</v>
      </c>
      <c r="C180" s="8" t="s">
        <v>22</v>
      </c>
      <c r="D180" s="8" t="s">
        <v>568</v>
      </c>
      <c r="E180" s="8" t="s">
        <v>96</v>
      </c>
      <c r="F180" s="8" t="s">
        <v>187</v>
      </c>
      <c r="G180" s="8">
        <v>3028.69</v>
      </c>
      <c r="H180" s="8" t="s">
        <v>248</v>
      </c>
      <c r="I180" s="8"/>
    </row>
    <row r="181" spans="1:9" x14ac:dyDescent="0.2">
      <c r="A181" s="8">
        <v>180</v>
      </c>
      <c r="B181" s="8" t="s">
        <v>569</v>
      </c>
      <c r="C181" s="8" t="s">
        <v>18</v>
      </c>
      <c r="D181" s="8" t="s">
        <v>570</v>
      </c>
      <c r="E181" s="8" t="s">
        <v>47</v>
      </c>
      <c r="F181" s="8" t="s">
        <v>182</v>
      </c>
      <c r="G181" s="8">
        <v>3925.16</v>
      </c>
      <c r="H181" s="8" t="s">
        <v>236</v>
      </c>
      <c r="I181" s="8" t="s">
        <v>414</v>
      </c>
    </row>
    <row r="182" spans="1:9" x14ac:dyDescent="0.2">
      <c r="A182" s="8">
        <v>181</v>
      </c>
      <c r="B182" s="8" t="s">
        <v>571</v>
      </c>
      <c r="C182" s="8" t="s">
        <v>23</v>
      </c>
      <c r="D182" s="8" t="s">
        <v>559</v>
      </c>
      <c r="E182" s="8" t="s">
        <v>92</v>
      </c>
      <c r="F182" s="8" t="s">
        <v>165</v>
      </c>
      <c r="G182" s="8">
        <v>2779.89</v>
      </c>
      <c r="H182" s="8" t="s">
        <v>231</v>
      </c>
      <c r="I182" s="8"/>
    </row>
    <row r="183" spans="1:9" x14ac:dyDescent="0.2">
      <c r="A183" s="8">
        <v>182</v>
      </c>
      <c r="B183" s="8" t="s">
        <v>572</v>
      </c>
      <c r="C183" s="8" t="s">
        <v>20</v>
      </c>
      <c r="D183" s="8" t="s">
        <v>573</v>
      </c>
      <c r="E183" s="8" t="s">
        <v>72</v>
      </c>
      <c r="F183" s="8" t="s">
        <v>175</v>
      </c>
      <c r="G183" s="8">
        <v>2121.84</v>
      </c>
      <c r="H183" s="8" t="s">
        <v>231</v>
      </c>
      <c r="I183" s="8"/>
    </row>
    <row r="184" spans="1:9" x14ac:dyDescent="0.2">
      <c r="A184" s="8">
        <v>183</v>
      </c>
      <c r="B184" s="8" t="s">
        <v>574</v>
      </c>
      <c r="C184" s="8" t="s">
        <v>21</v>
      </c>
      <c r="D184" s="8" t="s">
        <v>266</v>
      </c>
      <c r="E184" s="8" t="s">
        <v>84</v>
      </c>
      <c r="F184" s="8" t="s">
        <v>158</v>
      </c>
      <c r="G184" s="8">
        <v>2560.12</v>
      </c>
      <c r="H184" s="8" t="s">
        <v>231</v>
      </c>
      <c r="I184" s="8"/>
    </row>
    <row r="185" spans="1:9" x14ac:dyDescent="0.2">
      <c r="A185" s="8">
        <v>184</v>
      </c>
      <c r="B185" s="8" t="s">
        <v>575</v>
      </c>
      <c r="C185" s="8" t="s">
        <v>18</v>
      </c>
      <c r="D185" s="8" t="s">
        <v>576</v>
      </c>
      <c r="E185" s="8" t="s">
        <v>62</v>
      </c>
      <c r="F185" s="8" t="s">
        <v>130</v>
      </c>
      <c r="G185" s="8">
        <v>1914.4</v>
      </c>
      <c r="H185" s="8" t="s">
        <v>236</v>
      </c>
      <c r="I185" s="8" t="s">
        <v>237</v>
      </c>
    </row>
    <row r="186" spans="1:9" x14ac:dyDescent="0.2">
      <c r="A186" s="8">
        <v>185</v>
      </c>
      <c r="B186" s="8" t="s">
        <v>577</v>
      </c>
      <c r="C186" s="8" t="s">
        <v>16</v>
      </c>
      <c r="D186" s="8" t="s">
        <v>578</v>
      </c>
      <c r="E186" s="8" t="s">
        <v>78</v>
      </c>
      <c r="F186" s="8" t="s">
        <v>187</v>
      </c>
      <c r="G186" s="8">
        <v>4192.37</v>
      </c>
      <c r="H186" s="8" t="s">
        <v>236</v>
      </c>
      <c r="I186" s="8" t="s">
        <v>348</v>
      </c>
    </row>
    <row r="187" spans="1:9" x14ac:dyDescent="0.2">
      <c r="A187" s="8">
        <v>186</v>
      </c>
      <c r="B187" s="8" t="s">
        <v>579</v>
      </c>
      <c r="C187" s="8" t="s">
        <v>20</v>
      </c>
      <c r="D187" s="8" t="s">
        <v>580</v>
      </c>
      <c r="E187" s="8" t="s">
        <v>96</v>
      </c>
      <c r="F187" s="8" t="s">
        <v>167</v>
      </c>
      <c r="G187" s="8">
        <v>3575.76</v>
      </c>
      <c r="H187" s="8" t="s">
        <v>236</v>
      </c>
      <c r="I187" s="8" t="s">
        <v>414</v>
      </c>
    </row>
    <row r="188" spans="1:9" x14ac:dyDescent="0.2">
      <c r="A188" s="8">
        <v>187</v>
      </c>
      <c r="B188" s="8" t="s">
        <v>581</v>
      </c>
      <c r="C188" s="8" t="s">
        <v>21</v>
      </c>
      <c r="D188" s="8" t="s">
        <v>582</v>
      </c>
      <c r="E188" s="8" t="s">
        <v>35</v>
      </c>
      <c r="F188" s="8" t="s">
        <v>185</v>
      </c>
      <c r="G188" s="8">
        <v>3991.55</v>
      </c>
      <c r="H188" s="8" t="s">
        <v>231</v>
      </c>
      <c r="I188" s="8"/>
    </row>
    <row r="189" spans="1:9" x14ac:dyDescent="0.2">
      <c r="A189" s="8">
        <v>188</v>
      </c>
      <c r="B189" s="8" t="s">
        <v>583</v>
      </c>
      <c r="C189" s="8" t="s">
        <v>16</v>
      </c>
      <c r="D189" s="8" t="s">
        <v>584</v>
      </c>
      <c r="E189" s="8" t="s">
        <v>78</v>
      </c>
      <c r="F189" s="8" t="s">
        <v>175</v>
      </c>
      <c r="G189" s="8">
        <v>642.99</v>
      </c>
      <c r="H189" s="8" t="s">
        <v>236</v>
      </c>
      <c r="I189" s="8" t="s">
        <v>237</v>
      </c>
    </row>
    <row r="190" spans="1:9" x14ac:dyDescent="0.2">
      <c r="A190" s="8">
        <v>189</v>
      </c>
      <c r="B190" s="8" t="s">
        <v>585</v>
      </c>
      <c r="C190" s="8" t="s">
        <v>21</v>
      </c>
      <c r="D190" s="8" t="s">
        <v>586</v>
      </c>
      <c r="E190" s="8" t="s">
        <v>47</v>
      </c>
      <c r="F190" s="8" t="s">
        <v>132</v>
      </c>
      <c r="G190" s="8">
        <v>2210.6999999999998</v>
      </c>
      <c r="H190" s="8" t="s">
        <v>236</v>
      </c>
      <c r="I190" s="8" t="s">
        <v>237</v>
      </c>
    </row>
    <row r="191" spans="1:9" x14ac:dyDescent="0.2">
      <c r="A191" s="8">
        <v>190</v>
      </c>
      <c r="B191" s="8" t="s">
        <v>587</v>
      </c>
      <c r="C191" s="8" t="s">
        <v>20</v>
      </c>
      <c r="D191" s="8" t="s">
        <v>588</v>
      </c>
      <c r="E191" s="8" t="s">
        <v>60</v>
      </c>
      <c r="F191" s="8" t="s">
        <v>148</v>
      </c>
      <c r="G191" s="8">
        <v>580.88</v>
      </c>
      <c r="H191" s="8" t="s">
        <v>248</v>
      </c>
      <c r="I191" s="8"/>
    </row>
    <row r="192" spans="1:9" x14ac:dyDescent="0.2">
      <c r="A192" s="8">
        <v>191</v>
      </c>
      <c r="B192" s="8" t="s">
        <v>589</v>
      </c>
      <c r="C192" s="8" t="s">
        <v>24</v>
      </c>
      <c r="D192" s="8" t="s">
        <v>590</v>
      </c>
      <c r="E192" s="8" t="s">
        <v>102</v>
      </c>
      <c r="F192" s="8" t="s">
        <v>118</v>
      </c>
      <c r="G192" s="8">
        <v>342.87</v>
      </c>
      <c r="H192" s="8" t="s">
        <v>231</v>
      </c>
      <c r="I192" s="8"/>
    </row>
    <row r="193" spans="1:9" x14ac:dyDescent="0.2">
      <c r="A193" s="8">
        <v>192</v>
      </c>
      <c r="B193" s="8" t="s">
        <v>591</v>
      </c>
      <c r="C193" s="8" t="s">
        <v>22</v>
      </c>
      <c r="D193" s="8" t="s">
        <v>592</v>
      </c>
      <c r="E193" s="8" t="s">
        <v>41</v>
      </c>
      <c r="F193" s="8" t="s">
        <v>132</v>
      </c>
      <c r="G193" s="8">
        <v>4138.67</v>
      </c>
      <c r="H193" s="8" t="s">
        <v>231</v>
      </c>
      <c r="I193" s="8"/>
    </row>
    <row r="194" spans="1:9" x14ac:dyDescent="0.2">
      <c r="A194" s="8">
        <v>193</v>
      </c>
      <c r="B194" s="8" t="s">
        <v>593</v>
      </c>
      <c r="C194" s="8" t="s">
        <v>23</v>
      </c>
      <c r="D194" s="8" t="s">
        <v>594</v>
      </c>
      <c r="E194" s="8" t="s">
        <v>74</v>
      </c>
      <c r="F194" s="8" t="s">
        <v>156</v>
      </c>
      <c r="G194" s="8">
        <v>4129.92</v>
      </c>
      <c r="H194" s="8" t="s">
        <v>231</v>
      </c>
      <c r="I194" s="8"/>
    </row>
    <row r="195" spans="1:9" x14ac:dyDescent="0.2">
      <c r="A195" s="8">
        <v>194</v>
      </c>
      <c r="B195" s="8" t="s">
        <v>595</v>
      </c>
      <c r="C195" s="8" t="s">
        <v>16</v>
      </c>
      <c r="D195" s="8" t="s">
        <v>596</v>
      </c>
      <c r="E195" s="8" t="s">
        <v>39</v>
      </c>
      <c r="F195" s="8" t="s">
        <v>132</v>
      </c>
      <c r="G195" s="8">
        <v>1769.53</v>
      </c>
      <c r="H195" s="8" t="s">
        <v>231</v>
      </c>
      <c r="I195" s="8"/>
    </row>
    <row r="196" spans="1:9" x14ac:dyDescent="0.2">
      <c r="A196" s="8">
        <v>195</v>
      </c>
      <c r="B196" s="8" t="s">
        <v>597</v>
      </c>
      <c r="C196" s="8" t="s">
        <v>24</v>
      </c>
      <c r="D196" s="8" t="s">
        <v>598</v>
      </c>
      <c r="E196" s="8" t="s">
        <v>45</v>
      </c>
      <c r="F196" s="8" t="s">
        <v>111</v>
      </c>
      <c r="G196" s="8">
        <v>2209.11</v>
      </c>
      <c r="H196" s="8" t="s">
        <v>231</v>
      </c>
      <c r="I196" s="8"/>
    </row>
    <row r="197" spans="1:9" x14ac:dyDescent="0.2">
      <c r="A197" s="8">
        <v>196</v>
      </c>
      <c r="B197" s="8" t="s">
        <v>599</v>
      </c>
      <c r="C197" s="8" t="s">
        <v>23</v>
      </c>
      <c r="D197" s="8" t="s">
        <v>600</v>
      </c>
      <c r="E197" s="8" t="s">
        <v>80</v>
      </c>
      <c r="F197" s="8" t="s">
        <v>158</v>
      </c>
      <c r="G197" s="8">
        <v>303.58</v>
      </c>
      <c r="H197" s="8" t="s">
        <v>231</v>
      </c>
      <c r="I197" s="8"/>
    </row>
    <row r="198" spans="1:9" x14ac:dyDescent="0.2">
      <c r="A198" s="8">
        <v>197</v>
      </c>
      <c r="B198" s="8" t="s">
        <v>601</v>
      </c>
      <c r="C198" s="8" t="s">
        <v>16</v>
      </c>
      <c r="D198" s="8" t="s">
        <v>602</v>
      </c>
      <c r="E198" s="8" t="s">
        <v>41</v>
      </c>
      <c r="F198" s="8" t="s">
        <v>167</v>
      </c>
      <c r="G198" s="8">
        <v>3766.57</v>
      </c>
      <c r="H198" s="8" t="s">
        <v>236</v>
      </c>
      <c r="I198" s="8" t="s">
        <v>237</v>
      </c>
    </row>
    <row r="199" spans="1:9" x14ac:dyDescent="0.2">
      <c r="A199" s="8">
        <v>198</v>
      </c>
      <c r="B199" s="8" t="s">
        <v>603</v>
      </c>
      <c r="C199" s="8" t="s">
        <v>16</v>
      </c>
      <c r="D199" s="8" t="s">
        <v>233</v>
      </c>
      <c r="E199" s="8" t="s">
        <v>84</v>
      </c>
      <c r="F199" s="8" t="s">
        <v>137</v>
      </c>
      <c r="G199" s="8">
        <v>2719.07</v>
      </c>
      <c r="H199" s="8" t="s">
        <v>236</v>
      </c>
      <c r="I199" s="8" t="s">
        <v>327</v>
      </c>
    </row>
    <row r="200" spans="1:9" x14ac:dyDescent="0.2">
      <c r="A200" s="8">
        <v>199</v>
      </c>
      <c r="B200" s="8" t="s">
        <v>604</v>
      </c>
      <c r="C200" s="8" t="s">
        <v>22</v>
      </c>
      <c r="D200" s="8" t="s">
        <v>357</v>
      </c>
      <c r="E200" s="8" t="s">
        <v>90</v>
      </c>
      <c r="F200" s="8" t="s">
        <v>115</v>
      </c>
      <c r="G200" s="8">
        <v>3987.76</v>
      </c>
      <c r="H200" s="8" t="s">
        <v>236</v>
      </c>
      <c r="I200" s="8" t="s">
        <v>237</v>
      </c>
    </row>
    <row r="201" spans="1:9" x14ac:dyDescent="0.2">
      <c r="A201" s="8">
        <v>200</v>
      </c>
      <c r="B201" s="8" t="s">
        <v>605</v>
      </c>
      <c r="C201" s="8" t="s">
        <v>24</v>
      </c>
      <c r="D201" s="8" t="s">
        <v>243</v>
      </c>
      <c r="E201" s="8" t="s">
        <v>90</v>
      </c>
      <c r="F201" s="8" t="s">
        <v>169</v>
      </c>
      <c r="G201" s="8">
        <v>4021.18</v>
      </c>
      <c r="H201" s="8" t="s">
        <v>231</v>
      </c>
      <c r="I20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1"/>
  <sheetViews>
    <sheetView topLeftCell="F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24" customWidth="1"/>
    <col min="4" max="4" width="14" customWidth="1"/>
    <col min="5" max="5" width="12" customWidth="1"/>
    <col min="6" max="6" width="45" customWidth="1"/>
    <col min="7" max="7" width="20" customWidth="1"/>
    <col min="8" max="8" width="11" customWidth="1"/>
    <col min="9" max="9" width="45" customWidth="1"/>
    <col min="10" max="10" width="20" customWidth="1"/>
    <col min="11" max="11" width="15" customWidth="1"/>
    <col min="12" max="12" width="14" customWidth="1"/>
    <col min="13" max="13" width="45" customWidth="1"/>
    <col min="14" max="14" width="17" customWidth="1"/>
  </cols>
  <sheetData>
    <row r="1" spans="1:14" ht="16" x14ac:dyDescent="0.2">
      <c r="A1" s="6" t="s">
        <v>223</v>
      </c>
      <c r="B1" s="6" t="s">
        <v>224</v>
      </c>
      <c r="C1" s="6" t="s">
        <v>14</v>
      </c>
      <c r="D1" s="6" t="s">
        <v>225</v>
      </c>
      <c r="E1" s="6" t="s">
        <v>25</v>
      </c>
      <c r="F1" s="6" t="s">
        <v>606</v>
      </c>
      <c r="G1" s="6" t="s">
        <v>193</v>
      </c>
      <c r="H1" s="6" t="s">
        <v>104</v>
      </c>
      <c r="I1" s="6" t="s">
        <v>607</v>
      </c>
      <c r="J1" s="6" t="s">
        <v>608</v>
      </c>
      <c r="K1" s="6" t="s">
        <v>226</v>
      </c>
      <c r="L1" s="6" t="s">
        <v>227</v>
      </c>
      <c r="M1" s="6" t="s">
        <v>228</v>
      </c>
      <c r="N1" s="6" t="s">
        <v>8</v>
      </c>
    </row>
    <row r="2" spans="1:14" x14ac:dyDescent="0.2">
      <c r="A2" s="8">
        <v>1</v>
      </c>
      <c r="B2" s="8" t="s">
        <v>229</v>
      </c>
      <c r="C2" s="8" t="s">
        <v>24</v>
      </c>
      <c r="D2" s="8" t="s">
        <v>230</v>
      </c>
      <c r="E2" s="8" t="s">
        <v>33</v>
      </c>
      <c r="F2" s="8" t="s">
        <v>34</v>
      </c>
      <c r="G2" s="8" t="s">
        <v>32</v>
      </c>
      <c r="H2" s="8" t="s">
        <v>107</v>
      </c>
      <c r="I2" s="8" t="s">
        <v>109</v>
      </c>
      <c r="J2" s="8" t="s">
        <v>110</v>
      </c>
      <c r="K2" s="8">
        <v>497.79</v>
      </c>
      <c r="L2" s="8" t="s">
        <v>231</v>
      </c>
      <c r="M2" s="8"/>
      <c r="N2" s="8" t="s">
        <v>15</v>
      </c>
    </row>
    <row r="3" spans="1:14" x14ac:dyDescent="0.2">
      <c r="A3" s="8">
        <v>2</v>
      </c>
      <c r="B3" s="8" t="s">
        <v>232</v>
      </c>
      <c r="C3" s="8" t="s">
        <v>20</v>
      </c>
      <c r="D3" s="8" t="s">
        <v>233</v>
      </c>
      <c r="E3" s="8" t="s">
        <v>90</v>
      </c>
      <c r="F3" s="8" t="s">
        <v>91</v>
      </c>
      <c r="G3" s="8" t="s">
        <v>89</v>
      </c>
      <c r="H3" s="8" t="s">
        <v>167</v>
      </c>
      <c r="I3" s="8" t="s">
        <v>168</v>
      </c>
      <c r="J3" s="8" t="s">
        <v>89</v>
      </c>
      <c r="K3" s="8">
        <v>1034.73</v>
      </c>
      <c r="L3" s="8" t="s">
        <v>231</v>
      </c>
      <c r="M3" s="8"/>
      <c r="N3" s="8" t="s">
        <v>15</v>
      </c>
    </row>
    <row r="4" spans="1:14" x14ac:dyDescent="0.2">
      <c r="A4" s="8">
        <v>3</v>
      </c>
      <c r="B4" s="8" t="s">
        <v>234</v>
      </c>
      <c r="C4" s="8" t="s">
        <v>23</v>
      </c>
      <c r="D4" s="8" t="s">
        <v>235</v>
      </c>
      <c r="E4" s="8" t="s">
        <v>102</v>
      </c>
      <c r="F4" s="8" t="s">
        <v>103</v>
      </c>
      <c r="G4" s="8" t="s">
        <v>101</v>
      </c>
      <c r="H4" s="8" t="s">
        <v>118</v>
      </c>
      <c r="I4" s="8" t="s">
        <v>119</v>
      </c>
      <c r="J4" s="8" t="s">
        <v>117</v>
      </c>
      <c r="K4" s="8">
        <v>3660.86</v>
      </c>
      <c r="L4" s="8" t="s">
        <v>236</v>
      </c>
      <c r="M4" s="8" t="s">
        <v>237</v>
      </c>
      <c r="N4" s="8" t="s">
        <v>17</v>
      </c>
    </row>
    <row r="5" spans="1:14" x14ac:dyDescent="0.2">
      <c r="A5" s="8">
        <v>4</v>
      </c>
      <c r="B5" s="8" t="s">
        <v>238</v>
      </c>
      <c r="C5" s="8" t="s">
        <v>23</v>
      </c>
      <c r="D5" s="8" t="s">
        <v>239</v>
      </c>
      <c r="E5" s="8" t="s">
        <v>72</v>
      </c>
      <c r="F5" s="8" t="s">
        <v>73</v>
      </c>
      <c r="G5" s="8" t="s">
        <v>71</v>
      </c>
      <c r="H5" s="8" t="s">
        <v>158</v>
      </c>
      <c r="I5" s="8" t="s">
        <v>159</v>
      </c>
      <c r="J5" s="8" t="s">
        <v>160</v>
      </c>
      <c r="K5" s="8">
        <v>1463.45</v>
      </c>
      <c r="L5" s="8" t="s">
        <v>231</v>
      </c>
      <c r="M5" s="8"/>
      <c r="N5" s="8" t="s">
        <v>19</v>
      </c>
    </row>
    <row r="6" spans="1:14" x14ac:dyDescent="0.2">
      <c r="A6" s="8">
        <v>5</v>
      </c>
      <c r="B6" s="8" t="s">
        <v>240</v>
      </c>
      <c r="C6" s="8" t="s">
        <v>21</v>
      </c>
      <c r="D6" s="8" t="s">
        <v>241</v>
      </c>
      <c r="E6" s="8" t="s">
        <v>66</v>
      </c>
      <c r="F6" s="8" t="s">
        <v>67</v>
      </c>
      <c r="G6" s="8" t="s">
        <v>65</v>
      </c>
      <c r="H6" s="8" t="s">
        <v>118</v>
      </c>
      <c r="I6" s="8" t="s">
        <v>119</v>
      </c>
      <c r="J6" s="8" t="s">
        <v>117</v>
      </c>
      <c r="K6" s="8">
        <v>400.05</v>
      </c>
      <c r="L6" s="8" t="s">
        <v>236</v>
      </c>
      <c r="M6" s="8" t="s">
        <v>237</v>
      </c>
      <c r="N6" s="8" t="s">
        <v>19</v>
      </c>
    </row>
    <row r="7" spans="1:14" x14ac:dyDescent="0.2">
      <c r="A7" s="8">
        <v>6</v>
      </c>
      <c r="B7" s="8" t="s">
        <v>242</v>
      </c>
      <c r="C7" s="8" t="s">
        <v>22</v>
      </c>
      <c r="D7" s="8" t="s">
        <v>243</v>
      </c>
      <c r="E7" s="8" t="s">
        <v>98</v>
      </c>
      <c r="F7" s="8" t="s">
        <v>99</v>
      </c>
      <c r="G7" s="8" t="s">
        <v>101</v>
      </c>
      <c r="H7" s="8" t="s">
        <v>115</v>
      </c>
      <c r="I7" s="8" t="s">
        <v>116</v>
      </c>
      <c r="J7" s="8" t="s">
        <v>117</v>
      </c>
      <c r="K7" s="8">
        <v>3603.19</v>
      </c>
      <c r="L7" s="8" t="s">
        <v>236</v>
      </c>
      <c r="M7" s="8" t="s">
        <v>237</v>
      </c>
      <c r="N7" s="8" t="s">
        <v>17</v>
      </c>
    </row>
    <row r="8" spans="1:14" x14ac:dyDescent="0.2">
      <c r="A8" s="8">
        <v>7</v>
      </c>
      <c r="B8" s="8" t="s">
        <v>244</v>
      </c>
      <c r="C8" s="8" t="s">
        <v>20</v>
      </c>
      <c r="D8" s="8" t="s">
        <v>245</v>
      </c>
      <c r="E8" s="8" t="s">
        <v>78</v>
      </c>
      <c r="F8" s="8" t="s">
        <v>79</v>
      </c>
      <c r="G8" s="8" t="s">
        <v>77</v>
      </c>
      <c r="H8" s="8" t="s">
        <v>144</v>
      </c>
      <c r="I8" s="8" t="s">
        <v>145</v>
      </c>
      <c r="J8" s="8" t="s">
        <v>141</v>
      </c>
      <c r="K8" s="8">
        <v>2839.47</v>
      </c>
      <c r="L8" s="8" t="s">
        <v>236</v>
      </c>
      <c r="M8" s="8" t="s">
        <v>237</v>
      </c>
      <c r="N8" s="8" t="s">
        <v>17</v>
      </c>
    </row>
    <row r="9" spans="1:14" x14ac:dyDescent="0.2">
      <c r="A9" s="8">
        <v>8</v>
      </c>
      <c r="B9" s="8" t="s">
        <v>246</v>
      </c>
      <c r="C9" s="8" t="s">
        <v>21</v>
      </c>
      <c r="D9" s="8" t="s">
        <v>247</v>
      </c>
      <c r="E9" s="8" t="s">
        <v>35</v>
      </c>
      <c r="F9" s="8" t="s">
        <v>36</v>
      </c>
      <c r="G9" s="8" t="s">
        <v>38</v>
      </c>
      <c r="H9" s="8" t="s">
        <v>134</v>
      </c>
      <c r="I9" s="8" t="s">
        <v>135</v>
      </c>
      <c r="J9" s="8" t="s">
        <v>136</v>
      </c>
      <c r="K9" s="8">
        <v>1640.25</v>
      </c>
      <c r="L9" s="8" t="s">
        <v>248</v>
      </c>
      <c r="M9" s="8"/>
      <c r="N9" s="8" t="s">
        <v>15</v>
      </c>
    </row>
    <row r="10" spans="1:14" x14ac:dyDescent="0.2">
      <c r="A10" s="8">
        <v>9</v>
      </c>
      <c r="B10" s="8" t="s">
        <v>249</v>
      </c>
      <c r="C10" s="8" t="s">
        <v>23</v>
      </c>
      <c r="D10" s="8" t="s">
        <v>250</v>
      </c>
      <c r="E10" s="8" t="s">
        <v>80</v>
      </c>
      <c r="F10" s="8" t="s">
        <v>81</v>
      </c>
      <c r="G10" s="8" t="s">
        <v>83</v>
      </c>
      <c r="H10" s="8" t="s">
        <v>161</v>
      </c>
      <c r="I10" s="8" t="s">
        <v>162</v>
      </c>
      <c r="J10" s="8" t="s">
        <v>83</v>
      </c>
      <c r="K10" s="8">
        <v>207.41</v>
      </c>
      <c r="L10" s="8" t="s">
        <v>231</v>
      </c>
      <c r="M10" s="8"/>
      <c r="N10" s="8" t="s">
        <v>15</v>
      </c>
    </row>
    <row r="11" spans="1:14" x14ac:dyDescent="0.2">
      <c r="A11" s="8">
        <v>10</v>
      </c>
      <c r="B11" s="8" t="s">
        <v>251</v>
      </c>
      <c r="C11" s="8" t="s">
        <v>21</v>
      </c>
      <c r="D11" s="8" t="s">
        <v>252</v>
      </c>
      <c r="E11" s="8" t="s">
        <v>54</v>
      </c>
      <c r="F11" s="8" t="s">
        <v>55</v>
      </c>
      <c r="G11" s="8" t="s">
        <v>50</v>
      </c>
      <c r="H11" s="8" t="s">
        <v>177</v>
      </c>
      <c r="I11" s="8" t="s">
        <v>178</v>
      </c>
      <c r="J11" s="8" t="s">
        <v>179</v>
      </c>
      <c r="K11" s="8">
        <v>3724.32</v>
      </c>
      <c r="L11" s="8" t="s">
        <v>231</v>
      </c>
      <c r="M11" s="8"/>
      <c r="N11" s="8" t="s">
        <v>17</v>
      </c>
    </row>
    <row r="12" spans="1:14" x14ac:dyDescent="0.2">
      <c r="A12" s="8">
        <v>11</v>
      </c>
      <c r="B12" s="8" t="s">
        <v>253</v>
      </c>
      <c r="C12" s="8" t="s">
        <v>18</v>
      </c>
      <c r="D12" s="8" t="s">
        <v>254</v>
      </c>
      <c r="E12" s="8" t="s">
        <v>41</v>
      </c>
      <c r="F12" s="8" t="s">
        <v>42</v>
      </c>
      <c r="G12" s="8" t="s">
        <v>44</v>
      </c>
      <c r="H12" s="8" t="s">
        <v>161</v>
      </c>
      <c r="I12" s="8" t="s">
        <v>162</v>
      </c>
      <c r="J12" s="8" t="s">
        <v>83</v>
      </c>
      <c r="K12" s="8">
        <v>979.7</v>
      </c>
      <c r="L12" s="8" t="s">
        <v>248</v>
      </c>
      <c r="M12" s="8"/>
      <c r="N12" s="8" t="s">
        <v>19</v>
      </c>
    </row>
    <row r="13" spans="1:14" x14ac:dyDescent="0.2">
      <c r="A13" s="8">
        <v>12</v>
      </c>
      <c r="B13" s="8" t="s">
        <v>255</v>
      </c>
      <c r="C13" s="8" t="s">
        <v>23</v>
      </c>
      <c r="D13" s="8" t="s">
        <v>256</v>
      </c>
      <c r="E13" s="8" t="s">
        <v>35</v>
      </c>
      <c r="F13" s="8" t="s">
        <v>36</v>
      </c>
      <c r="G13" s="8" t="s">
        <v>38</v>
      </c>
      <c r="H13" s="8" t="s">
        <v>107</v>
      </c>
      <c r="I13" s="8" t="s">
        <v>109</v>
      </c>
      <c r="J13" s="8" t="s">
        <v>110</v>
      </c>
      <c r="K13" s="8">
        <v>2881.99</v>
      </c>
      <c r="L13" s="8" t="s">
        <v>231</v>
      </c>
      <c r="M13" s="8"/>
      <c r="N13" s="8" t="s">
        <v>15</v>
      </c>
    </row>
    <row r="14" spans="1:14" x14ac:dyDescent="0.2">
      <c r="A14" s="8">
        <v>13</v>
      </c>
      <c r="B14" s="8" t="s">
        <v>257</v>
      </c>
      <c r="C14" s="8" t="s">
        <v>24</v>
      </c>
      <c r="D14" s="8" t="s">
        <v>258</v>
      </c>
      <c r="E14" s="8" t="s">
        <v>90</v>
      </c>
      <c r="F14" s="8" t="s">
        <v>91</v>
      </c>
      <c r="G14" s="8" t="s">
        <v>89</v>
      </c>
      <c r="H14" s="8" t="s">
        <v>167</v>
      </c>
      <c r="I14" s="8" t="s">
        <v>168</v>
      </c>
      <c r="J14" s="8" t="s">
        <v>89</v>
      </c>
      <c r="K14" s="8">
        <v>3724.75</v>
      </c>
      <c r="L14" s="8" t="s">
        <v>231</v>
      </c>
      <c r="M14" s="8"/>
      <c r="N14" s="8" t="s">
        <v>15</v>
      </c>
    </row>
    <row r="15" spans="1:14" x14ac:dyDescent="0.2">
      <c r="A15" s="8">
        <v>14</v>
      </c>
      <c r="B15" s="8" t="s">
        <v>259</v>
      </c>
      <c r="C15" s="8" t="s">
        <v>21</v>
      </c>
      <c r="D15" s="8" t="s">
        <v>260</v>
      </c>
      <c r="E15" s="8" t="s">
        <v>62</v>
      </c>
      <c r="F15" s="8" t="s">
        <v>63</v>
      </c>
      <c r="G15" s="8" t="s">
        <v>65</v>
      </c>
      <c r="H15" s="8" t="s">
        <v>148</v>
      </c>
      <c r="I15" s="8" t="s">
        <v>149</v>
      </c>
      <c r="J15" s="8" t="s">
        <v>65</v>
      </c>
      <c r="K15" s="8">
        <v>88.39</v>
      </c>
      <c r="L15" s="8" t="s">
        <v>231</v>
      </c>
      <c r="M15" s="8"/>
      <c r="N15" s="8" t="s">
        <v>15</v>
      </c>
    </row>
    <row r="16" spans="1:14" x14ac:dyDescent="0.2">
      <c r="A16" s="8">
        <v>15</v>
      </c>
      <c r="B16" s="8" t="s">
        <v>261</v>
      </c>
      <c r="C16" s="8" t="s">
        <v>16</v>
      </c>
      <c r="D16" s="8" t="s">
        <v>262</v>
      </c>
      <c r="E16" s="8" t="s">
        <v>80</v>
      </c>
      <c r="F16" s="8" t="s">
        <v>81</v>
      </c>
      <c r="G16" s="8" t="s">
        <v>83</v>
      </c>
      <c r="H16" s="8" t="s">
        <v>158</v>
      </c>
      <c r="I16" s="8" t="s">
        <v>159</v>
      </c>
      <c r="J16" s="8" t="s">
        <v>160</v>
      </c>
      <c r="K16" s="8">
        <v>895.51</v>
      </c>
      <c r="L16" s="8" t="s">
        <v>231</v>
      </c>
      <c r="M16" s="8"/>
      <c r="N16" s="8" t="s">
        <v>15</v>
      </c>
    </row>
    <row r="17" spans="1:14" x14ac:dyDescent="0.2">
      <c r="A17" s="8">
        <v>16</v>
      </c>
      <c r="B17" s="8" t="s">
        <v>263</v>
      </c>
      <c r="C17" s="8" t="s">
        <v>22</v>
      </c>
      <c r="D17" s="8" t="s">
        <v>264</v>
      </c>
      <c r="E17" s="8" t="s">
        <v>80</v>
      </c>
      <c r="F17" s="8" t="s">
        <v>81</v>
      </c>
      <c r="G17" s="8" t="s">
        <v>83</v>
      </c>
      <c r="H17" s="8" t="s">
        <v>169</v>
      </c>
      <c r="I17" s="8" t="s">
        <v>170</v>
      </c>
      <c r="J17" s="8" t="s">
        <v>89</v>
      </c>
      <c r="K17" s="8">
        <v>3907.53</v>
      </c>
      <c r="L17" s="8" t="s">
        <v>248</v>
      </c>
      <c r="M17" s="8"/>
      <c r="N17" s="8" t="s">
        <v>19</v>
      </c>
    </row>
    <row r="18" spans="1:14" x14ac:dyDescent="0.2">
      <c r="A18" s="8">
        <v>17</v>
      </c>
      <c r="B18" s="8" t="s">
        <v>265</v>
      </c>
      <c r="C18" s="8" t="s">
        <v>22</v>
      </c>
      <c r="D18" s="8" t="s">
        <v>266</v>
      </c>
      <c r="E18" s="8" t="s">
        <v>56</v>
      </c>
      <c r="F18" s="8" t="s">
        <v>57</v>
      </c>
      <c r="G18" s="8" t="s">
        <v>59</v>
      </c>
      <c r="H18" s="8" t="s">
        <v>150</v>
      </c>
      <c r="I18" s="8" t="s">
        <v>151</v>
      </c>
      <c r="J18" s="8" t="s">
        <v>59</v>
      </c>
      <c r="K18" s="8">
        <v>3094.12</v>
      </c>
      <c r="L18" s="8" t="s">
        <v>231</v>
      </c>
      <c r="M18" s="8"/>
      <c r="N18" s="8" t="s">
        <v>15</v>
      </c>
    </row>
    <row r="19" spans="1:14" x14ac:dyDescent="0.2">
      <c r="A19" s="8">
        <v>18</v>
      </c>
      <c r="B19" s="8" t="s">
        <v>267</v>
      </c>
      <c r="C19" s="8" t="s">
        <v>18</v>
      </c>
      <c r="D19" s="8" t="s">
        <v>268</v>
      </c>
      <c r="E19" s="8" t="s">
        <v>80</v>
      </c>
      <c r="F19" s="8" t="s">
        <v>81</v>
      </c>
      <c r="G19" s="8" t="s">
        <v>83</v>
      </c>
      <c r="H19" s="8" t="s">
        <v>158</v>
      </c>
      <c r="I19" s="8" t="s">
        <v>159</v>
      </c>
      <c r="J19" s="8" t="s">
        <v>160</v>
      </c>
      <c r="K19" s="8">
        <v>2251.65</v>
      </c>
      <c r="L19" s="8" t="s">
        <v>231</v>
      </c>
      <c r="M19" s="8"/>
      <c r="N19" s="8" t="s">
        <v>15</v>
      </c>
    </row>
    <row r="20" spans="1:14" x14ac:dyDescent="0.2">
      <c r="A20" s="8">
        <v>19</v>
      </c>
      <c r="B20" s="8" t="s">
        <v>269</v>
      </c>
      <c r="C20" s="8" t="s">
        <v>21</v>
      </c>
      <c r="D20" s="8" t="s">
        <v>270</v>
      </c>
      <c r="E20" s="8" t="s">
        <v>80</v>
      </c>
      <c r="F20" s="8" t="s">
        <v>81</v>
      </c>
      <c r="G20" s="8" t="s">
        <v>83</v>
      </c>
      <c r="H20" s="8" t="s">
        <v>161</v>
      </c>
      <c r="I20" s="8" t="s">
        <v>162</v>
      </c>
      <c r="J20" s="8" t="s">
        <v>83</v>
      </c>
      <c r="K20" s="8">
        <v>3785.91</v>
      </c>
      <c r="L20" s="8" t="s">
        <v>231</v>
      </c>
      <c r="M20" s="8"/>
      <c r="N20" s="8" t="s">
        <v>15</v>
      </c>
    </row>
    <row r="21" spans="1:14" x14ac:dyDescent="0.2">
      <c r="A21" s="8">
        <v>20</v>
      </c>
      <c r="B21" s="8" t="s">
        <v>271</v>
      </c>
      <c r="C21" s="8" t="s">
        <v>16</v>
      </c>
      <c r="D21" s="8" t="s">
        <v>272</v>
      </c>
      <c r="E21" s="8" t="s">
        <v>39</v>
      </c>
      <c r="F21" s="8" t="s">
        <v>40</v>
      </c>
      <c r="G21" s="8" t="s">
        <v>38</v>
      </c>
      <c r="H21" s="8" t="s">
        <v>113</v>
      </c>
      <c r="I21" s="8" t="s">
        <v>114</v>
      </c>
      <c r="J21" s="8" t="s">
        <v>110</v>
      </c>
      <c r="K21" s="8">
        <v>983.4</v>
      </c>
      <c r="L21" s="8" t="s">
        <v>231</v>
      </c>
      <c r="M21" s="8"/>
      <c r="N21" s="8" t="s">
        <v>15</v>
      </c>
    </row>
    <row r="22" spans="1:14" x14ac:dyDescent="0.2">
      <c r="A22" s="8">
        <v>21</v>
      </c>
      <c r="B22" s="8" t="s">
        <v>273</v>
      </c>
      <c r="C22" s="8" t="s">
        <v>16</v>
      </c>
      <c r="D22" s="8" t="s">
        <v>274</v>
      </c>
      <c r="E22" s="8" t="s">
        <v>47</v>
      </c>
      <c r="F22" s="8" t="s">
        <v>48</v>
      </c>
      <c r="G22" s="8" t="s">
        <v>50</v>
      </c>
      <c r="H22" s="8" t="s">
        <v>130</v>
      </c>
      <c r="I22" s="8" t="s">
        <v>131</v>
      </c>
      <c r="J22" s="8" t="s">
        <v>129</v>
      </c>
      <c r="K22" s="8">
        <v>1056.77</v>
      </c>
      <c r="L22" s="8" t="s">
        <v>231</v>
      </c>
      <c r="M22" s="8"/>
      <c r="N22" s="8" t="s">
        <v>15</v>
      </c>
    </row>
    <row r="23" spans="1:14" x14ac:dyDescent="0.2">
      <c r="A23" s="8">
        <v>22</v>
      </c>
      <c r="B23" s="8" t="s">
        <v>275</v>
      </c>
      <c r="C23" s="8" t="s">
        <v>20</v>
      </c>
      <c r="D23" s="8" t="s">
        <v>276</v>
      </c>
      <c r="E23" s="8" t="s">
        <v>45</v>
      </c>
      <c r="F23" s="8" t="s">
        <v>46</v>
      </c>
      <c r="G23" s="8" t="s">
        <v>44</v>
      </c>
      <c r="H23" s="8" t="s">
        <v>158</v>
      </c>
      <c r="I23" s="8" t="s">
        <v>159</v>
      </c>
      <c r="J23" s="8" t="s">
        <v>160</v>
      </c>
      <c r="K23" s="8">
        <v>464.09</v>
      </c>
      <c r="L23" s="8" t="s">
        <v>236</v>
      </c>
      <c r="M23" s="8" t="s">
        <v>237</v>
      </c>
      <c r="N23" s="8" t="s">
        <v>19</v>
      </c>
    </row>
    <row r="24" spans="1:14" x14ac:dyDescent="0.2">
      <c r="A24" s="8">
        <v>23</v>
      </c>
      <c r="B24" s="8" t="s">
        <v>277</v>
      </c>
      <c r="C24" s="8" t="s">
        <v>24</v>
      </c>
      <c r="D24" s="8" t="s">
        <v>278</v>
      </c>
      <c r="E24" s="8" t="s">
        <v>74</v>
      </c>
      <c r="F24" s="8" t="s">
        <v>75</v>
      </c>
      <c r="G24" s="8" t="s">
        <v>77</v>
      </c>
      <c r="H24" s="8" t="s">
        <v>139</v>
      </c>
      <c r="I24" s="8" t="s">
        <v>140</v>
      </c>
      <c r="J24" s="8" t="s">
        <v>141</v>
      </c>
      <c r="K24" s="8">
        <v>1474.62</v>
      </c>
      <c r="L24" s="8" t="s">
        <v>236</v>
      </c>
      <c r="M24" s="8" t="s">
        <v>237</v>
      </c>
      <c r="N24" s="8" t="s">
        <v>17</v>
      </c>
    </row>
    <row r="25" spans="1:14" x14ac:dyDescent="0.2">
      <c r="A25" s="8">
        <v>24</v>
      </c>
      <c r="B25" s="8" t="s">
        <v>279</v>
      </c>
      <c r="C25" s="8" t="s">
        <v>20</v>
      </c>
      <c r="D25" s="8" t="s">
        <v>280</v>
      </c>
      <c r="E25" s="8" t="s">
        <v>54</v>
      </c>
      <c r="F25" s="8" t="s">
        <v>55</v>
      </c>
      <c r="G25" s="8" t="s">
        <v>50</v>
      </c>
      <c r="H25" s="8" t="s">
        <v>190</v>
      </c>
      <c r="I25" s="8" t="s">
        <v>191</v>
      </c>
      <c r="J25" s="8" t="s">
        <v>192</v>
      </c>
      <c r="K25" s="8">
        <v>1224</v>
      </c>
      <c r="L25" s="8" t="s">
        <v>231</v>
      </c>
      <c r="M25" s="8"/>
      <c r="N25" s="8" t="s">
        <v>15</v>
      </c>
    </row>
    <row r="26" spans="1:14" x14ac:dyDescent="0.2">
      <c r="A26" s="8">
        <v>25</v>
      </c>
      <c r="B26" s="8" t="s">
        <v>281</v>
      </c>
      <c r="C26" s="8" t="s">
        <v>23</v>
      </c>
      <c r="D26" s="8" t="s">
        <v>233</v>
      </c>
      <c r="E26" s="8" t="s">
        <v>74</v>
      </c>
      <c r="F26" s="8" t="s">
        <v>75</v>
      </c>
      <c r="G26" s="8" t="s">
        <v>77</v>
      </c>
      <c r="H26" s="8" t="s">
        <v>139</v>
      </c>
      <c r="I26" s="8" t="s">
        <v>140</v>
      </c>
      <c r="J26" s="8" t="s">
        <v>141</v>
      </c>
      <c r="K26" s="8">
        <v>3575.87</v>
      </c>
      <c r="L26" s="8" t="s">
        <v>231</v>
      </c>
      <c r="M26" s="8"/>
      <c r="N26" s="8" t="s">
        <v>17</v>
      </c>
    </row>
    <row r="27" spans="1:14" x14ac:dyDescent="0.2">
      <c r="A27" s="8">
        <v>26</v>
      </c>
      <c r="B27" s="8" t="s">
        <v>282</v>
      </c>
      <c r="C27" s="8" t="s">
        <v>22</v>
      </c>
      <c r="D27" s="8" t="s">
        <v>283</v>
      </c>
      <c r="E27" s="8" t="s">
        <v>51</v>
      </c>
      <c r="F27" s="8" t="s">
        <v>52</v>
      </c>
      <c r="G27" s="8" t="s">
        <v>50</v>
      </c>
      <c r="H27" s="8" t="s">
        <v>127</v>
      </c>
      <c r="I27" s="8" t="s">
        <v>128</v>
      </c>
      <c r="J27" s="8" t="s">
        <v>129</v>
      </c>
      <c r="K27" s="8">
        <v>4139.3999999999996</v>
      </c>
      <c r="L27" s="8" t="s">
        <v>231</v>
      </c>
      <c r="M27" s="8"/>
      <c r="N27" s="8" t="s">
        <v>15</v>
      </c>
    </row>
    <row r="28" spans="1:14" x14ac:dyDescent="0.2">
      <c r="A28" s="8">
        <v>27</v>
      </c>
      <c r="B28" s="8" t="s">
        <v>284</v>
      </c>
      <c r="C28" s="8" t="s">
        <v>20</v>
      </c>
      <c r="D28" s="8" t="s">
        <v>285</v>
      </c>
      <c r="E28" s="8" t="s">
        <v>78</v>
      </c>
      <c r="F28" s="8" t="s">
        <v>79</v>
      </c>
      <c r="G28" s="8" t="s">
        <v>77</v>
      </c>
      <c r="H28" s="8" t="s">
        <v>156</v>
      </c>
      <c r="I28" s="8" t="s">
        <v>157</v>
      </c>
      <c r="J28" s="8" t="s">
        <v>77</v>
      </c>
      <c r="K28" s="8">
        <v>1298.92</v>
      </c>
      <c r="L28" s="8" t="s">
        <v>248</v>
      </c>
      <c r="M28" s="8"/>
      <c r="N28" s="8" t="s">
        <v>15</v>
      </c>
    </row>
    <row r="29" spans="1:14" x14ac:dyDescent="0.2">
      <c r="A29" s="8">
        <v>28</v>
      </c>
      <c r="B29" s="8" t="s">
        <v>286</v>
      </c>
      <c r="C29" s="8" t="s">
        <v>16</v>
      </c>
      <c r="D29" s="8" t="s">
        <v>287</v>
      </c>
      <c r="E29" s="8" t="s">
        <v>80</v>
      </c>
      <c r="F29" s="8" t="s">
        <v>81</v>
      </c>
      <c r="G29" s="8" t="s">
        <v>83</v>
      </c>
      <c r="H29" s="8" t="s">
        <v>161</v>
      </c>
      <c r="I29" s="8" t="s">
        <v>162</v>
      </c>
      <c r="J29" s="8" t="s">
        <v>83</v>
      </c>
      <c r="K29" s="8">
        <v>2041.75</v>
      </c>
      <c r="L29" s="8" t="s">
        <v>236</v>
      </c>
      <c r="M29" s="8" t="s">
        <v>237</v>
      </c>
      <c r="N29" s="8" t="s">
        <v>15</v>
      </c>
    </row>
    <row r="30" spans="1:14" x14ac:dyDescent="0.2">
      <c r="A30" s="8">
        <v>29</v>
      </c>
      <c r="B30" s="8" t="s">
        <v>288</v>
      </c>
      <c r="C30" s="8" t="s">
        <v>24</v>
      </c>
      <c r="D30" s="8" t="s">
        <v>289</v>
      </c>
      <c r="E30" s="8" t="s">
        <v>29</v>
      </c>
      <c r="F30" s="8" t="s">
        <v>30</v>
      </c>
      <c r="G30" s="8" t="s">
        <v>32</v>
      </c>
      <c r="H30" s="8" t="s">
        <v>107</v>
      </c>
      <c r="I30" s="8" t="s">
        <v>109</v>
      </c>
      <c r="J30" s="8" t="s">
        <v>110</v>
      </c>
      <c r="K30" s="8">
        <v>3630</v>
      </c>
      <c r="L30" s="8" t="s">
        <v>231</v>
      </c>
      <c r="M30" s="8"/>
      <c r="N30" s="8" t="s">
        <v>15</v>
      </c>
    </row>
    <row r="31" spans="1:14" x14ac:dyDescent="0.2">
      <c r="A31" s="8">
        <v>30</v>
      </c>
      <c r="B31" s="8" t="s">
        <v>290</v>
      </c>
      <c r="C31" s="8" t="s">
        <v>24</v>
      </c>
      <c r="D31" s="8" t="s">
        <v>291</v>
      </c>
      <c r="E31" s="8" t="s">
        <v>86</v>
      </c>
      <c r="F31" s="8" t="s">
        <v>87</v>
      </c>
      <c r="G31" s="8" t="s">
        <v>89</v>
      </c>
      <c r="H31" s="8" t="s">
        <v>167</v>
      </c>
      <c r="I31" s="8" t="s">
        <v>168</v>
      </c>
      <c r="J31" s="8" t="s">
        <v>89</v>
      </c>
      <c r="K31" s="8">
        <v>2482.65</v>
      </c>
      <c r="L31" s="8" t="s">
        <v>231</v>
      </c>
      <c r="M31" s="8"/>
      <c r="N31" s="8" t="s">
        <v>15</v>
      </c>
    </row>
    <row r="32" spans="1:14" x14ac:dyDescent="0.2">
      <c r="A32" s="8">
        <v>31</v>
      </c>
      <c r="B32" s="8" t="s">
        <v>292</v>
      </c>
      <c r="C32" s="8" t="s">
        <v>21</v>
      </c>
      <c r="D32" s="8" t="s">
        <v>293</v>
      </c>
      <c r="E32" s="8" t="s">
        <v>54</v>
      </c>
      <c r="F32" s="8" t="s">
        <v>55</v>
      </c>
      <c r="G32" s="8" t="s">
        <v>50</v>
      </c>
      <c r="H32" s="8" t="s">
        <v>177</v>
      </c>
      <c r="I32" s="8" t="s">
        <v>178</v>
      </c>
      <c r="J32" s="8" t="s">
        <v>179</v>
      </c>
      <c r="K32" s="8">
        <v>614.87</v>
      </c>
      <c r="L32" s="8" t="s">
        <v>231</v>
      </c>
      <c r="M32" s="8"/>
      <c r="N32" s="8" t="s">
        <v>17</v>
      </c>
    </row>
    <row r="33" spans="1:14" x14ac:dyDescent="0.2">
      <c r="A33" s="8">
        <v>32</v>
      </c>
      <c r="B33" s="8" t="s">
        <v>294</v>
      </c>
      <c r="C33" s="8" t="s">
        <v>22</v>
      </c>
      <c r="D33" s="8" t="s">
        <v>295</v>
      </c>
      <c r="E33" s="8" t="s">
        <v>35</v>
      </c>
      <c r="F33" s="8" t="s">
        <v>36</v>
      </c>
      <c r="G33" s="8" t="s">
        <v>38</v>
      </c>
      <c r="H33" s="8" t="s">
        <v>132</v>
      </c>
      <c r="I33" s="8" t="s">
        <v>133</v>
      </c>
      <c r="J33" s="8" t="s">
        <v>129</v>
      </c>
      <c r="K33" s="8">
        <v>2292.7399999999998</v>
      </c>
      <c r="L33" s="8" t="s">
        <v>231</v>
      </c>
      <c r="M33" s="8"/>
      <c r="N33" s="8" t="s">
        <v>17</v>
      </c>
    </row>
    <row r="34" spans="1:14" x14ac:dyDescent="0.2">
      <c r="A34" s="8">
        <v>33</v>
      </c>
      <c r="B34" s="8" t="s">
        <v>296</v>
      </c>
      <c r="C34" s="8" t="s">
        <v>20</v>
      </c>
      <c r="D34" s="8" t="s">
        <v>297</v>
      </c>
      <c r="E34" s="8" t="s">
        <v>62</v>
      </c>
      <c r="F34" s="8" t="s">
        <v>63</v>
      </c>
      <c r="G34" s="8" t="s">
        <v>65</v>
      </c>
      <c r="H34" s="8" t="s">
        <v>158</v>
      </c>
      <c r="I34" s="8" t="s">
        <v>159</v>
      </c>
      <c r="J34" s="8" t="s">
        <v>160</v>
      </c>
      <c r="K34" s="8">
        <v>1882.51</v>
      </c>
      <c r="L34" s="8" t="s">
        <v>236</v>
      </c>
      <c r="M34" s="8" t="s">
        <v>237</v>
      </c>
      <c r="N34" s="8" t="s">
        <v>19</v>
      </c>
    </row>
    <row r="35" spans="1:14" x14ac:dyDescent="0.2">
      <c r="A35" s="8">
        <v>34</v>
      </c>
      <c r="B35" s="8" t="s">
        <v>298</v>
      </c>
      <c r="C35" s="8" t="s">
        <v>18</v>
      </c>
      <c r="D35" s="8" t="s">
        <v>299</v>
      </c>
      <c r="E35" s="8" t="s">
        <v>92</v>
      </c>
      <c r="F35" s="8" t="s">
        <v>93</v>
      </c>
      <c r="G35" s="8" t="s">
        <v>95</v>
      </c>
      <c r="H35" s="8" t="s">
        <v>163</v>
      </c>
      <c r="I35" s="8" t="s">
        <v>164</v>
      </c>
      <c r="J35" s="8" t="s">
        <v>95</v>
      </c>
      <c r="K35" s="8">
        <v>551.14</v>
      </c>
      <c r="L35" s="8" t="s">
        <v>231</v>
      </c>
      <c r="M35" s="8"/>
      <c r="N35" s="8" t="s">
        <v>15</v>
      </c>
    </row>
    <row r="36" spans="1:14" x14ac:dyDescent="0.2">
      <c r="A36" s="8">
        <v>35</v>
      </c>
      <c r="B36" s="8" t="s">
        <v>300</v>
      </c>
      <c r="C36" s="8" t="s">
        <v>24</v>
      </c>
      <c r="D36" s="8" t="s">
        <v>301</v>
      </c>
      <c r="E36" s="8" t="s">
        <v>60</v>
      </c>
      <c r="F36" s="8" t="s">
        <v>61</v>
      </c>
      <c r="G36" s="8" t="s">
        <v>59</v>
      </c>
      <c r="H36" s="8" t="s">
        <v>152</v>
      </c>
      <c r="I36" s="8" t="s">
        <v>153</v>
      </c>
      <c r="J36" s="8" t="s">
        <v>59</v>
      </c>
      <c r="K36" s="8">
        <v>2691.23</v>
      </c>
      <c r="L36" s="8" t="s">
        <v>231</v>
      </c>
      <c r="M36" s="8"/>
      <c r="N36" s="8" t="s">
        <v>15</v>
      </c>
    </row>
    <row r="37" spans="1:14" x14ac:dyDescent="0.2">
      <c r="A37" s="8">
        <v>36</v>
      </c>
      <c r="B37" s="8" t="s">
        <v>302</v>
      </c>
      <c r="C37" s="8" t="s">
        <v>22</v>
      </c>
      <c r="D37" s="8" t="s">
        <v>303</v>
      </c>
      <c r="E37" s="8" t="s">
        <v>29</v>
      </c>
      <c r="F37" s="8" t="s">
        <v>30</v>
      </c>
      <c r="G37" s="8" t="s">
        <v>32</v>
      </c>
      <c r="H37" s="8" t="s">
        <v>185</v>
      </c>
      <c r="I37" s="8" t="s">
        <v>186</v>
      </c>
      <c r="J37" s="8" t="s">
        <v>184</v>
      </c>
      <c r="K37" s="8">
        <v>89.63</v>
      </c>
      <c r="L37" s="8" t="s">
        <v>231</v>
      </c>
      <c r="M37" s="8"/>
      <c r="N37" s="8" t="s">
        <v>15</v>
      </c>
    </row>
    <row r="38" spans="1:14" x14ac:dyDescent="0.2">
      <c r="A38" s="8">
        <v>37</v>
      </c>
      <c r="B38" s="8" t="s">
        <v>304</v>
      </c>
      <c r="C38" s="8" t="s">
        <v>22</v>
      </c>
      <c r="D38" s="8" t="s">
        <v>305</v>
      </c>
      <c r="E38" s="8" t="s">
        <v>56</v>
      </c>
      <c r="F38" s="8" t="s">
        <v>57</v>
      </c>
      <c r="G38" s="8" t="s">
        <v>59</v>
      </c>
      <c r="H38" s="8" t="s">
        <v>152</v>
      </c>
      <c r="I38" s="8" t="s">
        <v>153</v>
      </c>
      <c r="J38" s="8" t="s">
        <v>59</v>
      </c>
      <c r="K38" s="8">
        <v>385.38</v>
      </c>
      <c r="L38" s="8" t="s">
        <v>236</v>
      </c>
      <c r="M38" s="8" t="s">
        <v>237</v>
      </c>
      <c r="N38" s="8" t="s">
        <v>15</v>
      </c>
    </row>
    <row r="39" spans="1:14" x14ac:dyDescent="0.2">
      <c r="A39" s="8">
        <v>38</v>
      </c>
      <c r="B39" s="8" t="s">
        <v>306</v>
      </c>
      <c r="C39" s="8" t="s">
        <v>20</v>
      </c>
      <c r="D39" s="8" t="s">
        <v>307</v>
      </c>
      <c r="E39" s="8" t="s">
        <v>80</v>
      </c>
      <c r="F39" s="8" t="s">
        <v>81</v>
      </c>
      <c r="G39" s="8" t="s">
        <v>83</v>
      </c>
      <c r="H39" s="8" t="s">
        <v>161</v>
      </c>
      <c r="I39" s="8" t="s">
        <v>162</v>
      </c>
      <c r="J39" s="8" t="s">
        <v>83</v>
      </c>
      <c r="K39" s="8">
        <v>247.54</v>
      </c>
      <c r="L39" s="8" t="s">
        <v>231</v>
      </c>
      <c r="M39" s="8"/>
      <c r="N39" s="8" t="s">
        <v>15</v>
      </c>
    </row>
    <row r="40" spans="1:14" x14ac:dyDescent="0.2">
      <c r="A40" s="8">
        <v>39</v>
      </c>
      <c r="B40" s="8" t="s">
        <v>308</v>
      </c>
      <c r="C40" s="8" t="s">
        <v>24</v>
      </c>
      <c r="D40" s="8" t="s">
        <v>309</v>
      </c>
      <c r="E40" s="8" t="s">
        <v>33</v>
      </c>
      <c r="F40" s="8" t="s">
        <v>34</v>
      </c>
      <c r="G40" s="8" t="s">
        <v>32</v>
      </c>
      <c r="H40" s="8" t="s">
        <v>113</v>
      </c>
      <c r="I40" s="8" t="s">
        <v>114</v>
      </c>
      <c r="J40" s="8" t="s">
        <v>110</v>
      </c>
      <c r="K40" s="8">
        <v>499.02</v>
      </c>
      <c r="L40" s="8" t="s">
        <v>231</v>
      </c>
      <c r="M40" s="8"/>
      <c r="N40" s="8" t="s">
        <v>15</v>
      </c>
    </row>
    <row r="41" spans="1:14" x14ac:dyDescent="0.2">
      <c r="A41" s="8">
        <v>40</v>
      </c>
      <c r="B41" s="8" t="s">
        <v>310</v>
      </c>
      <c r="C41" s="8" t="s">
        <v>21</v>
      </c>
      <c r="D41" s="8" t="s">
        <v>311</v>
      </c>
      <c r="E41" s="8" t="s">
        <v>68</v>
      </c>
      <c r="F41" s="8" t="s">
        <v>69</v>
      </c>
      <c r="G41" s="8" t="s">
        <v>71</v>
      </c>
      <c r="H41" s="8" t="s">
        <v>120</v>
      </c>
      <c r="I41" s="8" t="s">
        <v>121</v>
      </c>
      <c r="J41" s="8" t="s">
        <v>122</v>
      </c>
      <c r="K41" s="8">
        <v>177.24</v>
      </c>
      <c r="L41" s="8" t="s">
        <v>231</v>
      </c>
      <c r="M41" s="8"/>
      <c r="N41" s="8" t="s">
        <v>15</v>
      </c>
    </row>
    <row r="42" spans="1:14" x14ac:dyDescent="0.2">
      <c r="A42" s="8">
        <v>41</v>
      </c>
      <c r="B42" s="8" t="s">
        <v>312</v>
      </c>
      <c r="C42" s="8" t="s">
        <v>21</v>
      </c>
      <c r="D42" s="8" t="s">
        <v>313</v>
      </c>
      <c r="E42" s="8" t="s">
        <v>68</v>
      </c>
      <c r="F42" s="8" t="s">
        <v>69</v>
      </c>
      <c r="G42" s="8" t="s">
        <v>71</v>
      </c>
      <c r="H42" s="8" t="s">
        <v>171</v>
      </c>
      <c r="I42" s="8" t="s">
        <v>173</v>
      </c>
      <c r="J42" s="8" t="s">
        <v>174</v>
      </c>
      <c r="K42" s="8">
        <v>3672.69</v>
      </c>
      <c r="L42" s="8" t="s">
        <v>236</v>
      </c>
      <c r="M42" s="8" t="s">
        <v>237</v>
      </c>
      <c r="N42" s="8" t="s">
        <v>17</v>
      </c>
    </row>
    <row r="43" spans="1:14" x14ac:dyDescent="0.2">
      <c r="A43" s="8">
        <v>42</v>
      </c>
      <c r="B43" s="8" t="s">
        <v>314</v>
      </c>
      <c r="C43" s="8" t="s">
        <v>22</v>
      </c>
      <c r="D43" s="8" t="s">
        <v>315</v>
      </c>
      <c r="E43" s="8" t="s">
        <v>78</v>
      </c>
      <c r="F43" s="8" t="s">
        <v>79</v>
      </c>
      <c r="G43" s="8" t="s">
        <v>77</v>
      </c>
      <c r="H43" s="8" t="s">
        <v>156</v>
      </c>
      <c r="I43" s="8" t="s">
        <v>157</v>
      </c>
      <c r="J43" s="8" t="s">
        <v>77</v>
      </c>
      <c r="K43" s="8">
        <v>2797.64</v>
      </c>
      <c r="L43" s="8" t="s">
        <v>231</v>
      </c>
      <c r="M43" s="8"/>
      <c r="N43" s="8" t="s">
        <v>15</v>
      </c>
    </row>
    <row r="44" spans="1:14" x14ac:dyDescent="0.2">
      <c r="A44" s="8">
        <v>43</v>
      </c>
      <c r="B44" s="8" t="s">
        <v>316</v>
      </c>
      <c r="C44" s="8" t="s">
        <v>21</v>
      </c>
      <c r="D44" s="8" t="s">
        <v>317</v>
      </c>
      <c r="E44" s="8" t="s">
        <v>39</v>
      </c>
      <c r="F44" s="8" t="s">
        <v>40</v>
      </c>
      <c r="G44" s="8" t="s">
        <v>38</v>
      </c>
      <c r="H44" s="8" t="s">
        <v>132</v>
      </c>
      <c r="I44" s="8" t="s">
        <v>133</v>
      </c>
      <c r="J44" s="8" t="s">
        <v>129</v>
      </c>
      <c r="K44" s="8">
        <v>2878.01</v>
      </c>
      <c r="L44" s="8" t="s">
        <v>236</v>
      </c>
      <c r="M44" s="8" t="s">
        <v>237</v>
      </c>
      <c r="N44" s="8" t="s">
        <v>17</v>
      </c>
    </row>
    <row r="45" spans="1:14" x14ac:dyDescent="0.2">
      <c r="A45" s="8">
        <v>44</v>
      </c>
      <c r="B45" s="8" t="s">
        <v>318</v>
      </c>
      <c r="C45" s="8" t="s">
        <v>22</v>
      </c>
      <c r="D45" s="8" t="s">
        <v>293</v>
      </c>
      <c r="E45" s="8" t="s">
        <v>29</v>
      </c>
      <c r="F45" s="8" t="s">
        <v>30</v>
      </c>
      <c r="G45" s="8" t="s">
        <v>32</v>
      </c>
      <c r="H45" s="8" t="s">
        <v>120</v>
      </c>
      <c r="I45" s="8" t="s">
        <v>121</v>
      </c>
      <c r="J45" s="8" t="s">
        <v>122</v>
      </c>
      <c r="K45" s="8">
        <v>522.16</v>
      </c>
      <c r="L45" s="8" t="s">
        <v>231</v>
      </c>
      <c r="M45" s="8"/>
      <c r="N45" s="8" t="s">
        <v>15</v>
      </c>
    </row>
    <row r="46" spans="1:14" x14ac:dyDescent="0.2">
      <c r="A46" s="8">
        <v>45</v>
      </c>
      <c r="B46" s="8" t="s">
        <v>319</v>
      </c>
      <c r="C46" s="8" t="s">
        <v>18</v>
      </c>
      <c r="D46" s="8" t="s">
        <v>320</v>
      </c>
      <c r="E46" s="8" t="s">
        <v>66</v>
      </c>
      <c r="F46" s="8" t="s">
        <v>67</v>
      </c>
      <c r="G46" s="8" t="s">
        <v>65</v>
      </c>
      <c r="H46" s="8" t="s">
        <v>130</v>
      </c>
      <c r="I46" s="8" t="s">
        <v>131</v>
      </c>
      <c r="J46" s="8" t="s">
        <v>129</v>
      </c>
      <c r="K46" s="8">
        <v>258.08999999999997</v>
      </c>
      <c r="L46" s="8" t="s">
        <v>231</v>
      </c>
      <c r="M46" s="8"/>
      <c r="N46" s="8" t="s">
        <v>17</v>
      </c>
    </row>
    <row r="47" spans="1:14" x14ac:dyDescent="0.2">
      <c r="A47" s="8">
        <v>46</v>
      </c>
      <c r="B47" s="8" t="s">
        <v>321</v>
      </c>
      <c r="C47" s="8" t="s">
        <v>24</v>
      </c>
      <c r="D47" s="8" t="s">
        <v>322</v>
      </c>
      <c r="E47" s="8" t="s">
        <v>80</v>
      </c>
      <c r="F47" s="8" t="s">
        <v>81</v>
      </c>
      <c r="G47" s="8" t="s">
        <v>83</v>
      </c>
      <c r="H47" s="8" t="s">
        <v>161</v>
      </c>
      <c r="I47" s="8" t="s">
        <v>162</v>
      </c>
      <c r="J47" s="8" t="s">
        <v>83</v>
      </c>
      <c r="K47" s="8">
        <v>3873.18</v>
      </c>
      <c r="L47" s="8" t="s">
        <v>231</v>
      </c>
      <c r="M47" s="8"/>
      <c r="N47" s="8" t="s">
        <v>15</v>
      </c>
    </row>
    <row r="48" spans="1:14" x14ac:dyDescent="0.2">
      <c r="A48" s="8">
        <v>47</v>
      </c>
      <c r="B48" s="8" t="s">
        <v>323</v>
      </c>
      <c r="C48" s="8" t="s">
        <v>18</v>
      </c>
      <c r="D48" s="8" t="s">
        <v>324</v>
      </c>
      <c r="E48" s="8" t="s">
        <v>39</v>
      </c>
      <c r="F48" s="8" t="s">
        <v>40</v>
      </c>
      <c r="G48" s="8" t="s">
        <v>38</v>
      </c>
      <c r="H48" s="8" t="s">
        <v>137</v>
      </c>
      <c r="I48" s="8" t="s">
        <v>138</v>
      </c>
      <c r="J48" s="8" t="s">
        <v>136</v>
      </c>
      <c r="K48" s="8">
        <v>1734.9</v>
      </c>
      <c r="L48" s="8" t="s">
        <v>231</v>
      </c>
      <c r="M48" s="8"/>
      <c r="N48" s="8" t="s">
        <v>15</v>
      </c>
    </row>
    <row r="49" spans="1:14" x14ac:dyDescent="0.2">
      <c r="A49" s="8">
        <v>48</v>
      </c>
      <c r="B49" s="8" t="s">
        <v>325</v>
      </c>
      <c r="C49" s="8" t="s">
        <v>16</v>
      </c>
      <c r="D49" s="8" t="s">
        <v>326</v>
      </c>
      <c r="E49" s="8" t="s">
        <v>72</v>
      </c>
      <c r="F49" s="8" t="s">
        <v>73</v>
      </c>
      <c r="G49" s="8" t="s">
        <v>71</v>
      </c>
      <c r="H49" s="8" t="s">
        <v>148</v>
      </c>
      <c r="I49" s="8" t="s">
        <v>149</v>
      </c>
      <c r="J49" s="8" t="s">
        <v>65</v>
      </c>
      <c r="K49" s="8">
        <v>3514.12</v>
      </c>
      <c r="L49" s="8" t="s">
        <v>236</v>
      </c>
      <c r="M49" s="8" t="s">
        <v>327</v>
      </c>
      <c r="N49" s="8" t="s">
        <v>19</v>
      </c>
    </row>
    <row r="50" spans="1:14" x14ac:dyDescent="0.2">
      <c r="A50" s="8">
        <v>49</v>
      </c>
      <c r="B50" s="8" t="s">
        <v>328</v>
      </c>
      <c r="C50" s="8" t="s">
        <v>24</v>
      </c>
      <c r="D50" s="8" t="s">
        <v>329</v>
      </c>
      <c r="E50" s="8" t="s">
        <v>90</v>
      </c>
      <c r="F50" s="8" t="s">
        <v>91</v>
      </c>
      <c r="G50" s="8" t="s">
        <v>89</v>
      </c>
      <c r="H50" s="8" t="s">
        <v>169</v>
      </c>
      <c r="I50" s="8" t="s">
        <v>170</v>
      </c>
      <c r="J50" s="8" t="s">
        <v>89</v>
      </c>
      <c r="K50" s="8">
        <v>956.52</v>
      </c>
      <c r="L50" s="8" t="s">
        <v>231</v>
      </c>
      <c r="M50" s="8"/>
      <c r="N50" s="8" t="s">
        <v>15</v>
      </c>
    </row>
    <row r="51" spans="1:14" x14ac:dyDescent="0.2">
      <c r="A51" s="8">
        <v>50</v>
      </c>
      <c r="B51" s="8" t="s">
        <v>330</v>
      </c>
      <c r="C51" s="8" t="s">
        <v>24</v>
      </c>
      <c r="D51" s="8" t="s">
        <v>331</v>
      </c>
      <c r="E51" s="8" t="s">
        <v>98</v>
      </c>
      <c r="F51" s="8" t="s">
        <v>99</v>
      </c>
      <c r="G51" s="8" t="s">
        <v>101</v>
      </c>
      <c r="H51" s="8" t="s">
        <v>118</v>
      </c>
      <c r="I51" s="8" t="s">
        <v>119</v>
      </c>
      <c r="J51" s="8" t="s">
        <v>117</v>
      </c>
      <c r="K51" s="8">
        <v>2685.88</v>
      </c>
      <c r="L51" s="8" t="s">
        <v>231</v>
      </c>
      <c r="M51" s="8"/>
      <c r="N51" s="8" t="s">
        <v>17</v>
      </c>
    </row>
    <row r="52" spans="1:14" x14ac:dyDescent="0.2">
      <c r="A52" s="8">
        <v>51</v>
      </c>
      <c r="B52" s="8" t="s">
        <v>332</v>
      </c>
      <c r="C52" s="8" t="s">
        <v>20</v>
      </c>
      <c r="D52" s="8" t="s">
        <v>333</v>
      </c>
      <c r="E52" s="8" t="s">
        <v>54</v>
      </c>
      <c r="F52" s="8" t="s">
        <v>55</v>
      </c>
      <c r="G52" s="8" t="s">
        <v>50</v>
      </c>
      <c r="H52" s="8" t="s">
        <v>177</v>
      </c>
      <c r="I52" s="8" t="s">
        <v>178</v>
      </c>
      <c r="J52" s="8" t="s">
        <v>179</v>
      </c>
      <c r="K52" s="8">
        <v>175.75</v>
      </c>
      <c r="L52" s="8" t="s">
        <v>231</v>
      </c>
      <c r="M52" s="8"/>
      <c r="N52" s="8" t="s">
        <v>17</v>
      </c>
    </row>
    <row r="53" spans="1:14" x14ac:dyDescent="0.2">
      <c r="A53" s="8">
        <v>52</v>
      </c>
      <c r="B53" s="8" t="s">
        <v>334</v>
      </c>
      <c r="C53" s="8" t="s">
        <v>24</v>
      </c>
      <c r="D53" s="8" t="s">
        <v>335</v>
      </c>
      <c r="E53" s="8" t="s">
        <v>39</v>
      </c>
      <c r="F53" s="8" t="s">
        <v>40</v>
      </c>
      <c r="G53" s="8" t="s">
        <v>38</v>
      </c>
      <c r="H53" s="8" t="s">
        <v>132</v>
      </c>
      <c r="I53" s="8" t="s">
        <v>133</v>
      </c>
      <c r="J53" s="8" t="s">
        <v>129</v>
      </c>
      <c r="K53" s="8">
        <v>2947.46</v>
      </c>
      <c r="L53" s="8" t="s">
        <v>231</v>
      </c>
      <c r="M53" s="8"/>
      <c r="N53" s="8" t="s">
        <v>17</v>
      </c>
    </row>
    <row r="54" spans="1:14" x14ac:dyDescent="0.2">
      <c r="A54" s="8">
        <v>53</v>
      </c>
      <c r="B54" s="8" t="s">
        <v>336</v>
      </c>
      <c r="C54" s="8" t="s">
        <v>20</v>
      </c>
      <c r="D54" s="8" t="s">
        <v>337</v>
      </c>
      <c r="E54" s="8" t="s">
        <v>92</v>
      </c>
      <c r="F54" s="8" t="s">
        <v>93</v>
      </c>
      <c r="G54" s="8" t="s">
        <v>95</v>
      </c>
      <c r="H54" s="8" t="s">
        <v>165</v>
      </c>
      <c r="I54" s="8" t="s">
        <v>166</v>
      </c>
      <c r="J54" s="8" t="s">
        <v>95</v>
      </c>
      <c r="K54" s="8">
        <v>3391.95</v>
      </c>
      <c r="L54" s="8" t="s">
        <v>231</v>
      </c>
      <c r="M54" s="8"/>
      <c r="N54" s="8" t="s">
        <v>15</v>
      </c>
    </row>
    <row r="55" spans="1:14" x14ac:dyDescent="0.2">
      <c r="A55" s="8">
        <v>54</v>
      </c>
      <c r="B55" s="8" t="s">
        <v>338</v>
      </c>
      <c r="C55" s="8" t="s">
        <v>23</v>
      </c>
      <c r="D55" s="8" t="s">
        <v>339</v>
      </c>
      <c r="E55" s="8" t="s">
        <v>80</v>
      </c>
      <c r="F55" s="8" t="s">
        <v>81</v>
      </c>
      <c r="G55" s="8" t="s">
        <v>83</v>
      </c>
      <c r="H55" s="8" t="s">
        <v>158</v>
      </c>
      <c r="I55" s="8" t="s">
        <v>159</v>
      </c>
      <c r="J55" s="8" t="s">
        <v>160</v>
      </c>
      <c r="K55" s="8">
        <v>1991.65</v>
      </c>
      <c r="L55" s="8" t="s">
        <v>231</v>
      </c>
      <c r="M55" s="8"/>
      <c r="N55" s="8" t="s">
        <v>15</v>
      </c>
    </row>
    <row r="56" spans="1:14" x14ac:dyDescent="0.2">
      <c r="A56" s="8">
        <v>55</v>
      </c>
      <c r="B56" s="8" t="s">
        <v>340</v>
      </c>
      <c r="C56" s="8" t="s">
        <v>24</v>
      </c>
      <c r="D56" s="8" t="s">
        <v>341</v>
      </c>
      <c r="E56" s="8" t="s">
        <v>66</v>
      </c>
      <c r="F56" s="8" t="s">
        <v>67</v>
      </c>
      <c r="G56" s="8" t="s">
        <v>65</v>
      </c>
      <c r="H56" s="8" t="s">
        <v>148</v>
      </c>
      <c r="I56" s="8" t="s">
        <v>149</v>
      </c>
      <c r="J56" s="8" t="s">
        <v>65</v>
      </c>
      <c r="K56" s="8">
        <v>3628.67</v>
      </c>
      <c r="L56" s="8" t="s">
        <v>231</v>
      </c>
      <c r="M56" s="8"/>
      <c r="N56" s="8" t="s">
        <v>15</v>
      </c>
    </row>
    <row r="57" spans="1:14" x14ac:dyDescent="0.2">
      <c r="A57" s="8">
        <v>56</v>
      </c>
      <c r="B57" s="8" t="s">
        <v>342</v>
      </c>
      <c r="C57" s="8" t="s">
        <v>21</v>
      </c>
      <c r="D57" s="8" t="s">
        <v>343</v>
      </c>
      <c r="E57" s="8" t="s">
        <v>96</v>
      </c>
      <c r="F57" s="8" t="s">
        <v>97</v>
      </c>
      <c r="G57" s="8" t="s">
        <v>95</v>
      </c>
      <c r="H57" s="8" t="s">
        <v>163</v>
      </c>
      <c r="I57" s="8" t="s">
        <v>164</v>
      </c>
      <c r="J57" s="8" t="s">
        <v>95</v>
      </c>
      <c r="K57" s="8">
        <v>394.62</v>
      </c>
      <c r="L57" s="8" t="s">
        <v>231</v>
      </c>
      <c r="M57" s="8"/>
      <c r="N57" s="8" t="s">
        <v>15</v>
      </c>
    </row>
    <row r="58" spans="1:14" x14ac:dyDescent="0.2">
      <c r="A58" s="8">
        <v>57</v>
      </c>
      <c r="B58" s="8" t="s">
        <v>344</v>
      </c>
      <c r="C58" s="8" t="s">
        <v>21</v>
      </c>
      <c r="D58" s="8" t="s">
        <v>345</v>
      </c>
      <c r="E58" s="8" t="s">
        <v>62</v>
      </c>
      <c r="F58" s="8" t="s">
        <v>63</v>
      </c>
      <c r="G58" s="8" t="s">
        <v>65</v>
      </c>
      <c r="H58" s="8" t="s">
        <v>127</v>
      </c>
      <c r="I58" s="8" t="s">
        <v>128</v>
      </c>
      <c r="J58" s="8" t="s">
        <v>129</v>
      </c>
      <c r="K58" s="8">
        <v>2937.54</v>
      </c>
      <c r="L58" s="8" t="s">
        <v>236</v>
      </c>
      <c r="M58" s="8" t="s">
        <v>237</v>
      </c>
      <c r="N58" s="8" t="s">
        <v>17</v>
      </c>
    </row>
    <row r="59" spans="1:14" x14ac:dyDescent="0.2">
      <c r="A59" s="8">
        <v>58</v>
      </c>
      <c r="B59" s="8" t="s">
        <v>346</v>
      </c>
      <c r="C59" s="8" t="s">
        <v>20</v>
      </c>
      <c r="D59" s="8" t="s">
        <v>347</v>
      </c>
      <c r="E59" s="8" t="s">
        <v>72</v>
      </c>
      <c r="F59" s="8" t="s">
        <v>73</v>
      </c>
      <c r="G59" s="8" t="s">
        <v>71</v>
      </c>
      <c r="H59" s="8" t="s">
        <v>187</v>
      </c>
      <c r="I59" s="8" t="s">
        <v>188</v>
      </c>
      <c r="J59" s="8" t="s">
        <v>189</v>
      </c>
      <c r="K59" s="8">
        <v>3510.68</v>
      </c>
      <c r="L59" s="8" t="s">
        <v>236</v>
      </c>
      <c r="M59" s="8" t="s">
        <v>348</v>
      </c>
      <c r="N59" s="8" t="s">
        <v>19</v>
      </c>
    </row>
    <row r="60" spans="1:14" x14ac:dyDescent="0.2">
      <c r="A60" s="8">
        <v>59</v>
      </c>
      <c r="B60" s="8" t="s">
        <v>349</v>
      </c>
      <c r="C60" s="8" t="s">
        <v>18</v>
      </c>
      <c r="D60" s="8" t="s">
        <v>350</v>
      </c>
      <c r="E60" s="8" t="s">
        <v>90</v>
      </c>
      <c r="F60" s="8" t="s">
        <v>91</v>
      </c>
      <c r="G60" s="8" t="s">
        <v>89</v>
      </c>
      <c r="H60" s="8" t="s">
        <v>167</v>
      </c>
      <c r="I60" s="8" t="s">
        <v>168</v>
      </c>
      <c r="J60" s="8" t="s">
        <v>89</v>
      </c>
      <c r="K60" s="8">
        <v>3183.08</v>
      </c>
      <c r="L60" s="8" t="s">
        <v>231</v>
      </c>
      <c r="M60" s="8"/>
      <c r="N60" s="8" t="s">
        <v>15</v>
      </c>
    </row>
    <row r="61" spans="1:14" x14ac:dyDescent="0.2">
      <c r="A61" s="8">
        <v>60</v>
      </c>
      <c r="B61" s="8" t="s">
        <v>351</v>
      </c>
      <c r="C61" s="8" t="s">
        <v>21</v>
      </c>
      <c r="D61" s="8" t="s">
        <v>352</v>
      </c>
      <c r="E61" s="8" t="s">
        <v>68</v>
      </c>
      <c r="F61" s="8" t="s">
        <v>69</v>
      </c>
      <c r="G61" s="8" t="s">
        <v>71</v>
      </c>
      <c r="H61" s="8" t="s">
        <v>171</v>
      </c>
      <c r="I61" s="8" t="s">
        <v>173</v>
      </c>
      <c r="J61" s="8" t="s">
        <v>174</v>
      </c>
      <c r="K61" s="8">
        <v>2078.27</v>
      </c>
      <c r="L61" s="8" t="s">
        <v>231</v>
      </c>
      <c r="M61" s="8"/>
      <c r="N61" s="8" t="s">
        <v>17</v>
      </c>
    </row>
    <row r="62" spans="1:14" x14ac:dyDescent="0.2">
      <c r="A62" s="8">
        <v>61</v>
      </c>
      <c r="B62" s="8" t="s">
        <v>353</v>
      </c>
      <c r="C62" s="8" t="s">
        <v>21</v>
      </c>
      <c r="D62" s="8" t="s">
        <v>354</v>
      </c>
      <c r="E62" s="8" t="s">
        <v>68</v>
      </c>
      <c r="F62" s="8" t="s">
        <v>69</v>
      </c>
      <c r="G62" s="8" t="s">
        <v>71</v>
      </c>
      <c r="H62" s="8" t="s">
        <v>171</v>
      </c>
      <c r="I62" s="8" t="s">
        <v>173</v>
      </c>
      <c r="J62" s="8" t="s">
        <v>174</v>
      </c>
      <c r="K62" s="8">
        <v>2516.56</v>
      </c>
      <c r="L62" s="8" t="s">
        <v>236</v>
      </c>
      <c r="M62" s="8" t="s">
        <v>237</v>
      </c>
      <c r="N62" s="8" t="s">
        <v>17</v>
      </c>
    </row>
    <row r="63" spans="1:14" x14ac:dyDescent="0.2">
      <c r="A63" s="8">
        <v>62</v>
      </c>
      <c r="B63" s="8" t="s">
        <v>355</v>
      </c>
      <c r="C63" s="8" t="s">
        <v>18</v>
      </c>
      <c r="D63" s="8" t="s">
        <v>287</v>
      </c>
      <c r="E63" s="8" t="s">
        <v>68</v>
      </c>
      <c r="F63" s="8" t="s">
        <v>69</v>
      </c>
      <c r="G63" s="8" t="s">
        <v>71</v>
      </c>
      <c r="H63" s="8" t="s">
        <v>187</v>
      </c>
      <c r="I63" s="8" t="s">
        <v>188</v>
      </c>
      <c r="J63" s="8" t="s">
        <v>189</v>
      </c>
      <c r="K63" s="8">
        <v>1638.8</v>
      </c>
      <c r="L63" s="8" t="s">
        <v>236</v>
      </c>
      <c r="M63" s="8" t="s">
        <v>237</v>
      </c>
      <c r="N63" s="8" t="s">
        <v>19</v>
      </c>
    </row>
    <row r="64" spans="1:14" x14ac:dyDescent="0.2">
      <c r="A64" s="8">
        <v>63</v>
      </c>
      <c r="B64" s="8" t="s">
        <v>356</v>
      </c>
      <c r="C64" s="8" t="s">
        <v>21</v>
      </c>
      <c r="D64" s="8" t="s">
        <v>357</v>
      </c>
      <c r="E64" s="8" t="s">
        <v>72</v>
      </c>
      <c r="F64" s="8" t="s">
        <v>73</v>
      </c>
      <c r="G64" s="8" t="s">
        <v>71</v>
      </c>
      <c r="H64" s="8" t="s">
        <v>175</v>
      </c>
      <c r="I64" s="8" t="s">
        <v>176</v>
      </c>
      <c r="J64" s="8" t="s">
        <v>174</v>
      </c>
      <c r="K64" s="8">
        <v>154.96</v>
      </c>
      <c r="L64" s="8" t="s">
        <v>231</v>
      </c>
      <c r="M64" s="8"/>
      <c r="N64" s="8" t="s">
        <v>17</v>
      </c>
    </row>
    <row r="65" spans="1:14" x14ac:dyDescent="0.2">
      <c r="A65" s="8">
        <v>64</v>
      </c>
      <c r="B65" s="8" t="s">
        <v>358</v>
      </c>
      <c r="C65" s="8" t="s">
        <v>23</v>
      </c>
      <c r="D65" s="8" t="s">
        <v>359</v>
      </c>
      <c r="E65" s="8" t="s">
        <v>62</v>
      </c>
      <c r="F65" s="8" t="s">
        <v>63</v>
      </c>
      <c r="G65" s="8" t="s">
        <v>65</v>
      </c>
      <c r="H65" s="8" t="s">
        <v>132</v>
      </c>
      <c r="I65" s="8" t="s">
        <v>133</v>
      </c>
      <c r="J65" s="8" t="s">
        <v>129</v>
      </c>
      <c r="K65" s="8">
        <v>203</v>
      </c>
      <c r="L65" s="8" t="s">
        <v>231</v>
      </c>
      <c r="M65" s="8"/>
      <c r="N65" s="8" t="s">
        <v>17</v>
      </c>
    </row>
    <row r="66" spans="1:14" x14ac:dyDescent="0.2">
      <c r="A66" s="8">
        <v>65</v>
      </c>
      <c r="B66" s="8" t="s">
        <v>360</v>
      </c>
      <c r="C66" s="8" t="s">
        <v>24</v>
      </c>
      <c r="D66" s="8" t="s">
        <v>361</v>
      </c>
      <c r="E66" s="8" t="s">
        <v>86</v>
      </c>
      <c r="F66" s="8" t="s">
        <v>87</v>
      </c>
      <c r="G66" s="8" t="s">
        <v>89</v>
      </c>
      <c r="H66" s="8" t="s">
        <v>167</v>
      </c>
      <c r="I66" s="8" t="s">
        <v>168</v>
      </c>
      <c r="J66" s="8" t="s">
        <v>89</v>
      </c>
      <c r="K66" s="8">
        <v>546.86</v>
      </c>
      <c r="L66" s="8" t="s">
        <v>248</v>
      </c>
      <c r="M66" s="8"/>
      <c r="N66" s="8" t="s">
        <v>15</v>
      </c>
    </row>
    <row r="67" spans="1:14" x14ac:dyDescent="0.2">
      <c r="A67" s="8">
        <v>66</v>
      </c>
      <c r="B67" s="8" t="s">
        <v>362</v>
      </c>
      <c r="C67" s="8" t="s">
        <v>18</v>
      </c>
      <c r="D67" s="8" t="s">
        <v>247</v>
      </c>
      <c r="E67" s="8" t="s">
        <v>60</v>
      </c>
      <c r="F67" s="8" t="s">
        <v>61</v>
      </c>
      <c r="G67" s="8" t="s">
        <v>59</v>
      </c>
      <c r="H67" s="8" t="s">
        <v>150</v>
      </c>
      <c r="I67" s="8" t="s">
        <v>151</v>
      </c>
      <c r="J67" s="8" t="s">
        <v>59</v>
      </c>
      <c r="K67" s="8">
        <v>520.91</v>
      </c>
      <c r="L67" s="8" t="s">
        <v>231</v>
      </c>
      <c r="M67" s="8"/>
      <c r="N67" s="8" t="s">
        <v>15</v>
      </c>
    </row>
    <row r="68" spans="1:14" x14ac:dyDescent="0.2">
      <c r="A68" s="8">
        <v>67</v>
      </c>
      <c r="B68" s="8" t="s">
        <v>363</v>
      </c>
      <c r="C68" s="8" t="s">
        <v>16</v>
      </c>
      <c r="D68" s="8" t="s">
        <v>364</v>
      </c>
      <c r="E68" s="8" t="s">
        <v>96</v>
      </c>
      <c r="F68" s="8" t="s">
        <v>97</v>
      </c>
      <c r="G68" s="8" t="s">
        <v>95</v>
      </c>
      <c r="H68" s="8" t="s">
        <v>163</v>
      </c>
      <c r="I68" s="8" t="s">
        <v>164</v>
      </c>
      <c r="J68" s="8" t="s">
        <v>95</v>
      </c>
      <c r="K68" s="8">
        <v>2923.78</v>
      </c>
      <c r="L68" s="8" t="s">
        <v>231</v>
      </c>
      <c r="M68" s="8"/>
      <c r="N68" s="8" t="s">
        <v>15</v>
      </c>
    </row>
    <row r="69" spans="1:14" x14ac:dyDescent="0.2">
      <c r="A69" s="8">
        <v>68</v>
      </c>
      <c r="B69" s="8" t="s">
        <v>365</v>
      </c>
      <c r="C69" s="8" t="s">
        <v>21</v>
      </c>
      <c r="D69" s="8" t="s">
        <v>366</v>
      </c>
      <c r="E69" s="8" t="s">
        <v>56</v>
      </c>
      <c r="F69" s="8" t="s">
        <v>57</v>
      </c>
      <c r="G69" s="8" t="s">
        <v>59</v>
      </c>
      <c r="H69" s="8" t="s">
        <v>118</v>
      </c>
      <c r="I69" s="8" t="s">
        <v>119</v>
      </c>
      <c r="J69" s="8" t="s">
        <v>117</v>
      </c>
      <c r="K69" s="8">
        <v>2803.78</v>
      </c>
      <c r="L69" s="8" t="s">
        <v>231</v>
      </c>
      <c r="M69" s="8"/>
      <c r="N69" s="8" t="s">
        <v>19</v>
      </c>
    </row>
    <row r="70" spans="1:14" x14ac:dyDescent="0.2">
      <c r="A70" s="8">
        <v>69</v>
      </c>
      <c r="B70" s="8" t="s">
        <v>367</v>
      </c>
      <c r="C70" s="8" t="s">
        <v>18</v>
      </c>
      <c r="D70" s="8" t="s">
        <v>368</v>
      </c>
      <c r="E70" s="8" t="s">
        <v>33</v>
      </c>
      <c r="F70" s="8" t="s">
        <v>34</v>
      </c>
      <c r="G70" s="8" t="s">
        <v>32</v>
      </c>
      <c r="H70" s="8" t="s">
        <v>120</v>
      </c>
      <c r="I70" s="8" t="s">
        <v>121</v>
      </c>
      <c r="J70" s="8" t="s">
        <v>122</v>
      </c>
      <c r="K70" s="8">
        <v>2696.79</v>
      </c>
      <c r="L70" s="8" t="s">
        <v>231</v>
      </c>
      <c r="M70" s="8"/>
      <c r="N70" s="8" t="s">
        <v>15</v>
      </c>
    </row>
    <row r="71" spans="1:14" x14ac:dyDescent="0.2">
      <c r="A71" s="8">
        <v>70</v>
      </c>
      <c r="B71" s="8" t="s">
        <v>369</v>
      </c>
      <c r="C71" s="8" t="s">
        <v>21</v>
      </c>
      <c r="D71" s="8" t="s">
        <v>370</v>
      </c>
      <c r="E71" s="8" t="s">
        <v>68</v>
      </c>
      <c r="F71" s="8" t="s">
        <v>69</v>
      </c>
      <c r="G71" s="8" t="s">
        <v>71</v>
      </c>
      <c r="H71" s="8" t="s">
        <v>175</v>
      </c>
      <c r="I71" s="8" t="s">
        <v>176</v>
      </c>
      <c r="J71" s="8" t="s">
        <v>174</v>
      </c>
      <c r="K71" s="8">
        <v>3481.16</v>
      </c>
      <c r="L71" s="8" t="s">
        <v>231</v>
      </c>
      <c r="M71" s="8"/>
      <c r="N71" s="8" t="s">
        <v>17</v>
      </c>
    </row>
    <row r="72" spans="1:14" x14ac:dyDescent="0.2">
      <c r="A72" s="8">
        <v>71</v>
      </c>
      <c r="B72" s="8" t="s">
        <v>371</v>
      </c>
      <c r="C72" s="8" t="s">
        <v>23</v>
      </c>
      <c r="D72" s="8" t="s">
        <v>372</v>
      </c>
      <c r="E72" s="8" t="s">
        <v>47</v>
      </c>
      <c r="F72" s="8" t="s">
        <v>48</v>
      </c>
      <c r="G72" s="8" t="s">
        <v>50</v>
      </c>
      <c r="H72" s="8" t="s">
        <v>180</v>
      </c>
      <c r="I72" s="8" t="s">
        <v>181</v>
      </c>
      <c r="J72" s="8" t="s">
        <v>179</v>
      </c>
      <c r="K72" s="8">
        <v>1991.92</v>
      </c>
      <c r="L72" s="8" t="s">
        <v>231</v>
      </c>
      <c r="M72" s="8"/>
      <c r="N72" s="8" t="s">
        <v>17</v>
      </c>
    </row>
    <row r="73" spans="1:14" x14ac:dyDescent="0.2">
      <c r="A73" s="8">
        <v>72</v>
      </c>
      <c r="B73" s="8" t="s">
        <v>373</v>
      </c>
      <c r="C73" s="8" t="s">
        <v>20</v>
      </c>
      <c r="D73" s="8" t="s">
        <v>374</v>
      </c>
      <c r="E73" s="8" t="s">
        <v>33</v>
      </c>
      <c r="F73" s="8" t="s">
        <v>34</v>
      </c>
      <c r="G73" s="8" t="s">
        <v>32</v>
      </c>
      <c r="H73" s="8" t="s">
        <v>120</v>
      </c>
      <c r="I73" s="8" t="s">
        <v>121</v>
      </c>
      <c r="J73" s="8" t="s">
        <v>122</v>
      </c>
      <c r="K73" s="8">
        <v>1538.65</v>
      </c>
      <c r="L73" s="8" t="s">
        <v>231</v>
      </c>
      <c r="M73" s="8"/>
      <c r="N73" s="8" t="s">
        <v>15</v>
      </c>
    </row>
    <row r="74" spans="1:14" x14ac:dyDescent="0.2">
      <c r="A74" s="8">
        <v>73</v>
      </c>
      <c r="B74" s="8" t="s">
        <v>375</v>
      </c>
      <c r="C74" s="8" t="s">
        <v>20</v>
      </c>
      <c r="D74" s="8" t="s">
        <v>376</v>
      </c>
      <c r="E74" s="8" t="s">
        <v>90</v>
      </c>
      <c r="F74" s="8" t="s">
        <v>91</v>
      </c>
      <c r="G74" s="8" t="s">
        <v>89</v>
      </c>
      <c r="H74" s="8" t="s">
        <v>167</v>
      </c>
      <c r="I74" s="8" t="s">
        <v>168</v>
      </c>
      <c r="J74" s="8" t="s">
        <v>89</v>
      </c>
      <c r="K74" s="8">
        <v>3045.31</v>
      </c>
      <c r="L74" s="8" t="s">
        <v>231</v>
      </c>
      <c r="M74" s="8"/>
      <c r="N74" s="8" t="s">
        <v>15</v>
      </c>
    </row>
    <row r="75" spans="1:14" x14ac:dyDescent="0.2">
      <c r="A75" s="8">
        <v>74</v>
      </c>
      <c r="B75" s="8" t="s">
        <v>377</v>
      </c>
      <c r="C75" s="8" t="s">
        <v>22</v>
      </c>
      <c r="D75" s="8" t="s">
        <v>378</v>
      </c>
      <c r="E75" s="8" t="s">
        <v>102</v>
      </c>
      <c r="F75" s="8" t="s">
        <v>103</v>
      </c>
      <c r="G75" s="8" t="s">
        <v>101</v>
      </c>
      <c r="H75" s="8" t="s">
        <v>130</v>
      </c>
      <c r="I75" s="8" t="s">
        <v>131</v>
      </c>
      <c r="J75" s="8" t="s">
        <v>129</v>
      </c>
      <c r="K75" s="8">
        <v>1288.72</v>
      </c>
      <c r="L75" s="8" t="s">
        <v>231</v>
      </c>
      <c r="M75" s="8"/>
      <c r="N75" s="8" t="s">
        <v>17</v>
      </c>
    </row>
    <row r="76" spans="1:14" x14ac:dyDescent="0.2">
      <c r="A76" s="8">
        <v>75</v>
      </c>
      <c r="B76" s="8" t="s">
        <v>379</v>
      </c>
      <c r="C76" s="8" t="s">
        <v>24</v>
      </c>
      <c r="D76" s="8" t="s">
        <v>380</v>
      </c>
      <c r="E76" s="8" t="s">
        <v>96</v>
      </c>
      <c r="F76" s="8" t="s">
        <v>97</v>
      </c>
      <c r="G76" s="8" t="s">
        <v>95</v>
      </c>
      <c r="H76" s="8" t="s">
        <v>165</v>
      </c>
      <c r="I76" s="8" t="s">
        <v>166</v>
      </c>
      <c r="J76" s="8" t="s">
        <v>95</v>
      </c>
      <c r="K76" s="8">
        <v>2345.35</v>
      </c>
      <c r="L76" s="8" t="s">
        <v>231</v>
      </c>
      <c r="M76" s="8"/>
      <c r="N76" s="8" t="s">
        <v>15</v>
      </c>
    </row>
    <row r="77" spans="1:14" x14ac:dyDescent="0.2">
      <c r="A77" s="8">
        <v>76</v>
      </c>
      <c r="B77" s="8" t="s">
        <v>381</v>
      </c>
      <c r="C77" s="8" t="s">
        <v>18</v>
      </c>
      <c r="D77" s="8" t="s">
        <v>382</v>
      </c>
      <c r="E77" s="8" t="s">
        <v>60</v>
      </c>
      <c r="F77" s="8" t="s">
        <v>61</v>
      </c>
      <c r="G77" s="8" t="s">
        <v>59</v>
      </c>
      <c r="H77" s="8" t="s">
        <v>150</v>
      </c>
      <c r="I77" s="8" t="s">
        <v>151</v>
      </c>
      <c r="J77" s="8" t="s">
        <v>59</v>
      </c>
      <c r="K77" s="8">
        <v>568.16</v>
      </c>
      <c r="L77" s="8" t="s">
        <v>231</v>
      </c>
      <c r="M77" s="8"/>
      <c r="N77" s="8" t="s">
        <v>15</v>
      </c>
    </row>
    <row r="78" spans="1:14" x14ac:dyDescent="0.2">
      <c r="A78" s="8">
        <v>77</v>
      </c>
      <c r="B78" s="8" t="s">
        <v>383</v>
      </c>
      <c r="C78" s="8" t="s">
        <v>18</v>
      </c>
      <c r="D78" s="8" t="s">
        <v>384</v>
      </c>
      <c r="E78" s="8" t="s">
        <v>41</v>
      </c>
      <c r="F78" s="8" t="s">
        <v>42</v>
      </c>
      <c r="G78" s="8" t="s">
        <v>44</v>
      </c>
      <c r="H78" s="8" t="s">
        <v>113</v>
      </c>
      <c r="I78" s="8" t="s">
        <v>114</v>
      </c>
      <c r="J78" s="8" t="s">
        <v>110</v>
      </c>
      <c r="K78" s="8">
        <v>3063.91</v>
      </c>
      <c r="L78" s="8" t="s">
        <v>248</v>
      </c>
      <c r="M78" s="8"/>
      <c r="N78" s="8" t="s">
        <v>15</v>
      </c>
    </row>
    <row r="79" spans="1:14" x14ac:dyDescent="0.2">
      <c r="A79" s="8">
        <v>78</v>
      </c>
      <c r="B79" s="8" t="s">
        <v>385</v>
      </c>
      <c r="C79" s="8" t="s">
        <v>18</v>
      </c>
      <c r="D79" s="8" t="s">
        <v>386</v>
      </c>
      <c r="E79" s="8" t="s">
        <v>56</v>
      </c>
      <c r="F79" s="8" t="s">
        <v>57</v>
      </c>
      <c r="G79" s="8" t="s">
        <v>59</v>
      </c>
      <c r="H79" s="8" t="s">
        <v>152</v>
      </c>
      <c r="I79" s="8" t="s">
        <v>153</v>
      </c>
      <c r="J79" s="8" t="s">
        <v>59</v>
      </c>
      <c r="K79" s="8">
        <v>815.2</v>
      </c>
      <c r="L79" s="8" t="s">
        <v>231</v>
      </c>
      <c r="M79" s="8"/>
      <c r="N79" s="8" t="s">
        <v>15</v>
      </c>
    </row>
    <row r="80" spans="1:14" x14ac:dyDescent="0.2">
      <c r="A80" s="8">
        <v>79</v>
      </c>
      <c r="B80" s="8" t="s">
        <v>387</v>
      </c>
      <c r="C80" s="8" t="s">
        <v>24</v>
      </c>
      <c r="D80" s="8" t="s">
        <v>388</v>
      </c>
      <c r="E80" s="8" t="s">
        <v>56</v>
      </c>
      <c r="F80" s="8" t="s">
        <v>57</v>
      </c>
      <c r="G80" s="8" t="s">
        <v>59</v>
      </c>
      <c r="H80" s="8" t="s">
        <v>152</v>
      </c>
      <c r="I80" s="8" t="s">
        <v>153</v>
      </c>
      <c r="J80" s="8" t="s">
        <v>59</v>
      </c>
      <c r="K80" s="8">
        <v>3657.4</v>
      </c>
      <c r="L80" s="8" t="s">
        <v>231</v>
      </c>
      <c r="M80" s="8"/>
      <c r="N80" s="8" t="s">
        <v>15</v>
      </c>
    </row>
    <row r="81" spans="1:14" x14ac:dyDescent="0.2">
      <c r="A81" s="8">
        <v>80</v>
      </c>
      <c r="B81" s="8" t="s">
        <v>389</v>
      </c>
      <c r="C81" s="8" t="s">
        <v>18</v>
      </c>
      <c r="D81" s="8" t="s">
        <v>390</v>
      </c>
      <c r="E81" s="8" t="s">
        <v>90</v>
      </c>
      <c r="F81" s="8" t="s">
        <v>91</v>
      </c>
      <c r="G81" s="8" t="s">
        <v>89</v>
      </c>
      <c r="H81" s="8" t="s">
        <v>169</v>
      </c>
      <c r="I81" s="8" t="s">
        <v>170</v>
      </c>
      <c r="J81" s="8" t="s">
        <v>89</v>
      </c>
      <c r="K81" s="8">
        <v>835.5</v>
      </c>
      <c r="L81" s="8" t="s">
        <v>231</v>
      </c>
      <c r="M81" s="8"/>
      <c r="N81" s="8" t="s">
        <v>15</v>
      </c>
    </row>
    <row r="82" spans="1:14" x14ac:dyDescent="0.2">
      <c r="A82" s="8">
        <v>81</v>
      </c>
      <c r="B82" s="8" t="s">
        <v>391</v>
      </c>
      <c r="C82" s="8" t="s">
        <v>22</v>
      </c>
      <c r="D82" s="8" t="s">
        <v>392</v>
      </c>
      <c r="E82" s="8" t="s">
        <v>74</v>
      </c>
      <c r="F82" s="8" t="s">
        <v>75</v>
      </c>
      <c r="G82" s="8" t="s">
        <v>77</v>
      </c>
      <c r="H82" s="8" t="s">
        <v>154</v>
      </c>
      <c r="I82" s="8" t="s">
        <v>155</v>
      </c>
      <c r="J82" s="8" t="s">
        <v>141</v>
      </c>
      <c r="K82" s="8">
        <v>2455.21</v>
      </c>
      <c r="L82" s="8" t="s">
        <v>236</v>
      </c>
      <c r="M82" s="8" t="s">
        <v>237</v>
      </c>
      <c r="N82" s="8" t="s">
        <v>17</v>
      </c>
    </row>
    <row r="83" spans="1:14" x14ac:dyDescent="0.2">
      <c r="A83" s="8">
        <v>82</v>
      </c>
      <c r="B83" s="8" t="s">
        <v>393</v>
      </c>
      <c r="C83" s="8" t="s">
        <v>16</v>
      </c>
      <c r="D83" s="8" t="s">
        <v>394</v>
      </c>
      <c r="E83" s="8" t="s">
        <v>90</v>
      </c>
      <c r="F83" s="8" t="s">
        <v>91</v>
      </c>
      <c r="G83" s="8" t="s">
        <v>89</v>
      </c>
      <c r="H83" s="8" t="s">
        <v>120</v>
      </c>
      <c r="I83" s="8" t="s">
        <v>121</v>
      </c>
      <c r="J83" s="8" t="s">
        <v>122</v>
      </c>
      <c r="K83" s="8">
        <v>3228.33</v>
      </c>
      <c r="L83" s="8" t="s">
        <v>236</v>
      </c>
      <c r="M83" s="8" t="s">
        <v>327</v>
      </c>
      <c r="N83" s="8" t="s">
        <v>19</v>
      </c>
    </row>
    <row r="84" spans="1:14" x14ac:dyDescent="0.2">
      <c r="A84" s="8">
        <v>83</v>
      </c>
      <c r="B84" s="8" t="s">
        <v>395</v>
      </c>
      <c r="C84" s="8" t="s">
        <v>18</v>
      </c>
      <c r="D84" s="8" t="s">
        <v>396</v>
      </c>
      <c r="E84" s="8" t="s">
        <v>72</v>
      </c>
      <c r="F84" s="8" t="s">
        <v>73</v>
      </c>
      <c r="G84" s="8" t="s">
        <v>71</v>
      </c>
      <c r="H84" s="8" t="s">
        <v>175</v>
      </c>
      <c r="I84" s="8" t="s">
        <v>176</v>
      </c>
      <c r="J84" s="8" t="s">
        <v>174</v>
      </c>
      <c r="K84" s="8">
        <v>2420.6</v>
      </c>
      <c r="L84" s="8" t="s">
        <v>231</v>
      </c>
      <c r="M84" s="8"/>
      <c r="N84" s="8" t="s">
        <v>17</v>
      </c>
    </row>
    <row r="85" spans="1:14" x14ac:dyDescent="0.2">
      <c r="A85" s="8">
        <v>84</v>
      </c>
      <c r="B85" s="8" t="s">
        <v>397</v>
      </c>
      <c r="C85" s="8" t="s">
        <v>24</v>
      </c>
      <c r="D85" s="8" t="s">
        <v>398</v>
      </c>
      <c r="E85" s="8" t="s">
        <v>35</v>
      </c>
      <c r="F85" s="8" t="s">
        <v>36</v>
      </c>
      <c r="G85" s="8" t="s">
        <v>38</v>
      </c>
      <c r="H85" s="8" t="s">
        <v>134</v>
      </c>
      <c r="I85" s="8" t="s">
        <v>135</v>
      </c>
      <c r="J85" s="8" t="s">
        <v>136</v>
      </c>
      <c r="K85" s="8">
        <v>409.9</v>
      </c>
      <c r="L85" s="8" t="s">
        <v>231</v>
      </c>
      <c r="M85" s="8"/>
      <c r="N85" s="8" t="s">
        <v>15</v>
      </c>
    </row>
    <row r="86" spans="1:14" x14ac:dyDescent="0.2">
      <c r="A86" s="8">
        <v>85</v>
      </c>
      <c r="B86" s="8" t="s">
        <v>399</v>
      </c>
      <c r="C86" s="8" t="s">
        <v>18</v>
      </c>
      <c r="D86" s="8" t="s">
        <v>400</v>
      </c>
      <c r="E86" s="8" t="s">
        <v>41</v>
      </c>
      <c r="F86" s="8" t="s">
        <v>42</v>
      </c>
      <c r="G86" s="8" t="s">
        <v>44</v>
      </c>
      <c r="H86" s="8" t="s">
        <v>130</v>
      </c>
      <c r="I86" s="8" t="s">
        <v>131</v>
      </c>
      <c r="J86" s="8" t="s">
        <v>129</v>
      </c>
      <c r="K86" s="8">
        <v>209.64</v>
      </c>
      <c r="L86" s="8" t="s">
        <v>231</v>
      </c>
      <c r="M86" s="8"/>
      <c r="N86" s="8" t="s">
        <v>15</v>
      </c>
    </row>
    <row r="87" spans="1:14" x14ac:dyDescent="0.2">
      <c r="A87" s="8">
        <v>86</v>
      </c>
      <c r="B87" s="8" t="s">
        <v>401</v>
      </c>
      <c r="C87" s="8" t="s">
        <v>21</v>
      </c>
      <c r="D87" s="8" t="s">
        <v>402</v>
      </c>
      <c r="E87" s="8" t="s">
        <v>74</v>
      </c>
      <c r="F87" s="8" t="s">
        <v>75</v>
      </c>
      <c r="G87" s="8" t="s">
        <v>77</v>
      </c>
      <c r="H87" s="8" t="s">
        <v>144</v>
      </c>
      <c r="I87" s="8" t="s">
        <v>145</v>
      </c>
      <c r="J87" s="8" t="s">
        <v>141</v>
      </c>
      <c r="K87" s="8">
        <v>548.45000000000005</v>
      </c>
      <c r="L87" s="8" t="s">
        <v>231</v>
      </c>
      <c r="M87" s="8"/>
      <c r="N87" s="8" t="s">
        <v>17</v>
      </c>
    </row>
    <row r="88" spans="1:14" x14ac:dyDescent="0.2">
      <c r="A88" s="8">
        <v>87</v>
      </c>
      <c r="B88" s="8" t="s">
        <v>403</v>
      </c>
      <c r="C88" s="8" t="s">
        <v>23</v>
      </c>
      <c r="D88" s="8" t="s">
        <v>268</v>
      </c>
      <c r="E88" s="8" t="s">
        <v>56</v>
      </c>
      <c r="F88" s="8" t="s">
        <v>57</v>
      </c>
      <c r="G88" s="8" t="s">
        <v>59</v>
      </c>
      <c r="H88" s="8" t="s">
        <v>120</v>
      </c>
      <c r="I88" s="8" t="s">
        <v>121</v>
      </c>
      <c r="J88" s="8" t="s">
        <v>122</v>
      </c>
      <c r="K88" s="8">
        <v>1343.9</v>
      </c>
      <c r="L88" s="8" t="s">
        <v>236</v>
      </c>
      <c r="M88" s="8" t="s">
        <v>237</v>
      </c>
      <c r="N88" s="8" t="s">
        <v>19</v>
      </c>
    </row>
    <row r="89" spans="1:14" x14ac:dyDescent="0.2">
      <c r="A89" s="8">
        <v>88</v>
      </c>
      <c r="B89" s="8" t="s">
        <v>404</v>
      </c>
      <c r="C89" s="8" t="s">
        <v>16</v>
      </c>
      <c r="D89" s="8" t="s">
        <v>405</v>
      </c>
      <c r="E89" s="8" t="s">
        <v>78</v>
      </c>
      <c r="F89" s="8" t="s">
        <v>79</v>
      </c>
      <c r="G89" s="8" t="s">
        <v>77</v>
      </c>
      <c r="H89" s="8" t="s">
        <v>156</v>
      </c>
      <c r="I89" s="8" t="s">
        <v>157</v>
      </c>
      <c r="J89" s="8" t="s">
        <v>77</v>
      </c>
      <c r="K89" s="8">
        <v>2111.91</v>
      </c>
      <c r="L89" s="8" t="s">
        <v>231</v>
      </c>
      <c r="M89" s="8"/>
      <c r="N89" s="8" t="s">
        <v>15</v>
      </c>
    </row>
    <row r="90" spans="1:14" x14ac:dyDescent="0.2">
      <c r="A90" s="8">
        <v>89</v>
      </c>
      <c r="B90" s="8" t="s">
        <v>406</v>
      </c>
      <c r="C90" s="8" t="s">
        <v>20</v>
      </c>
      <c r="D90" s="8" t="s">
        <v>407</v>
      </c>
      <c r="E90" s="8" t="s">
        <v>72</v>
      </c>
      <c r="F90" s="8" t="s">
        <v>73</v>
      </c>
      <c r="G90" s="8" t="s">
        <v>71</v>
      </c>
      <c r="H90" s="8" t="s">
        <v>158</v>
      </c>
      <c r="I90" s="8" t="s">
        <v>159</v>
      </c>
      <c r="J90" s="8" t="s">
        <v>160</v>
      </c>
      <c r="K90" s="8">
        <v>4042.88</v>
      </c>
      <c r="L90" s="8" t="s">
        <v>236</v>
      </c>
      <c r="M90" s="8" t="s">
        <v>348</v>
      </c>
      <c r="N90" s="8" t="s">
        <v>19</v>
      </c>
    </row>
    <row r="91" spans="1:14" x14ac:dyDescent="0.2">
      <c r="A91" s="8">
        <v>90</v>
      </c>
      <c r="B91" s="8" t="s">
        <v>408</v>
      </c>
      <c r="C91" s="8" t="s">
        <v>16</v>
      </c>
      <c r="D91" s="8" t="s">
        <v>400</v>
      </c>
      <c r="E91" s="8" t="s">
        <v>96</v>
      </c>
      <c r="F91" s="8" t="s">
        <v>97</v>
      </c>
      <c r="G91" s="8" t="s">
        <v>95</v>
      </c>
      <c r="H91" s="8" t="s">
        <v>163</v>
      </c>
      <c r="I91" s="8" t="s">
        <v>164</v>
      </c>
      <c r="J91" s="8" t="s">
        <v>95</v>
      </c>
      <c r="K91" s="8">
        <v>2762.48</v>
      </c>
      <c r="L91" s="8" t="s">
        <v>236</v>
      </c>
      <c r="M91" s="8" t="s">
        <v>237</v>
      </c>
      <c r="N91" s="8" t="s">
        <v>15</v>
      </c>
    </row>
    <row r="92" spans="1:14" x14ac:dyDescent="0.2">
      <c r="A92" s="8">
        <v>91</v>
      </c>
      <c r="B92" s="8" t="s">
        <v>409</v>
      </c>
      <c r="C92" s="8" t="s">
        <v>18</v>
      </c>
      <c r="D92" s="8" t="s">
        <v>400</v>
      </c>
      <c r="E92" s="8" t="s">
        <v>90</v>
      </c>
      <c r="F92" s="8" t="s">
        <v>91</v>
      </c>
      <c r="G92" s="8" t="s">
        <v>89</v>
      </c>
      <c r="H92" s="8" t="s">
        <v>187</v>
      </c>
      <c r="I92" s="8" t="s">
        <v>188</v>
      </c>
      <c r="J92" s="8" t="s">
        <v>189</v>
      </c>
      <c r="K92" s="8">
        <v>1759.44</v>
      </c>
      <c r="L92" s="8" t="s">
        <v>236</v>
      </c>
      <c r="M92" s="8" t="s">
        <v>348</v>
      </c>
      <c r="N92" s="8" t="s">
        <v>19</v>
      </c>
    </row>
    <row r="93" spans="1:14" x14ac:dyDescent="0.2">
      <c r="A93" s="8">
        <v>92</v>
      </c>
      <c r="B93" s="8" t="s">
        <v>410</v>
      </c>
      <c r="C93" s="8" t="s">
        <v>23</v>
      </c>
      <c r="D93" s="8" t="s">
        <v>411</v>
      </c>
      <c r="E93" s="8" t="s">
        <v>66</v>
      </c>
      <c r="F93" s="8" t="s">
        <v>67</v>
      </c>
      <c r="G93" s="8" t="s">
        <v>65</v>
      </c>
      <c r="H93" s="8" t="s">
        <v>148</v>
      </c>
      <c r="I93" s="8" t="s">
        <v>149</v>
      </c>
      <c r="J93" s="8" t="s">
        <v>65</v>
      </c>
      <c r="K93" s="8">
        <v>3212.06</v>
      </c>
      <c r="L93" s="8" t="s">
        <v>231</v>
      </c>
      <c r="M93" s="8"/>
      <c r="N93" s="8" t="s">
        <v>15</v>
      </c>
    </row>
    <row r="94" spans="1:14" x14ac:dyDescent="0.2">
      <c r="A94" s="8">
        <v>93</v>
      </c>
      <c r="B94" s="8" t="s">
        <v>412</v>
      </c>
      <c r="C94" s="8" t="s">
        <v>23</v>
      </c>
      <c r="D94" s="8" t="s">
        <v>413</v>
      </c>
      <c r="E94" s="8" t="s">
        <v>60</v>
      </c>
      <c r="F94" s="8" t="s">
        <v>61</v>
      </c>
      <c r="G94" s="8" t="s">
        <v>59</v>
      </c>
      <c r="H94" s="8" t="s">
        <v>130</v>
      </c>
      <c r="I94" s="8" t="s">
        <v>131</v>
      </c>
      <c r="J94" s="8" t="s">
        <v>129</v>
      </c>
      <c r="K94" s="8">
        <v>4150.99</v>
      </c>
      <c r="L94" s="8" t="s">
        <v>236</v>
      </c>
      <c r="M94" s="8" t="s">
        <v>414</v>
      </c>
      <c r="N94" s="8" t="s">
        <v>19</v>
      </c>
    </row>
    <row r="95" spans="1:14" x14ac:dyDescent="0.2">
      <c r="A95" s="8">
        <v>94</v>
      </c>
      <c r="B95" s="8" t="s">
        <v>415</v>
      </c>
      <c r="C95" s="8" t="s">
        <v>23</v>
      </c>
      <c r="D95" s="8" t="s">
        <v>329</v>
      </c>
      <c r="E95" s="8" t="s">
        <v>54</v>
      </c>
      <c r="F95" s="8" t="s">
        <v>55</v>
      </c>
      <c r="G95" s="8" t="s">
        <v>50</v>
      </c>
      <c r="H95" s="8" t="s">
        <v>180</v>
      </c>
      <c r="I95" s="8" t="s">
        <v>181</v>
      </c>
      <c r="J95" s="8" t="s">
        <v>179</v>
      </c>
      <c r="K95" s="8">
        <v>287.89999999999998</v>
      </c>
      <c r="L95" s="8" t="s">
        <v>231</v>
      </c>
      <c r="M95" s="8"/>
      <c r="N95" s="8" t="s">
        <v>17</v>
      </c>
    </row>
    <row r="96" spans="1:14" x14ac:dyDescent="0.2">
      <c r="A96" s="8">
        <v>95</v>
      </c>
      <c r="B96" s="8" t="s">
        <v>416</v>
      </c>
      <c r="C96" s="8" t="s">
        <v>24</v>
      </c>
      <c r="D96" s="8" t="s">
        <v>417</v>
      </c>
      <c r="E96" s="8" t="s">
        <v>60</v>
      </c>
      <c r="F96" s="8" t="s">
        <v>61</v>
      </c>
      <c r="G96" s="8" t="s">
        <v>59</v>
      </c>
      <c r="H96" s="8" t="s">
        <v>187</v>
      </c>
      <c r="I96" s="8" t="s">
        <v>188</v>
      </c>
      <c r="J96" s="8" t="s">
        <v>189</v>
      </c>
      <c r="K96" s="8">
        <v>2586.6</v>
      </c>
      <c r="L96" s="8" t="s">
        <v>236</v>
      </c>
      <c r="M96" s="8" t="s">
        <v>327</v>
      </c>
      <c r="N96" s="8" t="s">
        <v>19</v>
      </c>
    </row>
    <row r="97" spans="1:14" x14ac:dyDescent="0.2">
      <c r="A97" s="8">
        <v>96</v>
      </c>
      <c r="B97" s="8" t="s">
        <v>418</v>
      </c>
      <c r="C97" s="8" t="s">
        <v>21</v>
      </c>
      <c r="D97" s="8" t="s">
        <v>419</v>
      </c>
      <c r="E97" s="8" t="s">
        <v>33</v>
      </c>
      <c r="F97" s="8" t="s">
        <v>34</v>
      </c>
      <c r="G97" s="8" t="s">
        <v>32</v>
      </c>
      <c r="H97" s="8" t="s">
        <v>107</v>
      </c>
      <c r="I97" s="8" t="s">
        <v>109</v>
      </c>
      <c r="J97" s="8" t="s">
        <v>110</v>
      </c>
      <c r="K97" s="8">
        <v>3981.63</v>
      </c>
      <c r="L97" s="8" t="s">
        <v>231</v>
      </c>
      <c r="M97" s="8"/>
      <c r="N97" s="8" t="s">
        <v>15</v>
      </c>
    </row>
    <row r="98" spans="1:14" x14ac:dyDescent="0.2">
      <c r="A98" s="8">
        <v>97</v>
      </c>
      <c r="B98" s="8" t="s">
        <v>420</v>
      </c>
      <c r="C98" s="8" t="s">
        <v>23</v>
      </c>
      <c r="D98" s="8" t="s">
        <v>421</v>
      </c>
      <c r="E98" s="8" t="s">
        <v>102</v>
      </c>
      <c r="F98" s="8" t="s">
        <v>103</v>
      </c>
      <c r="G98" s="8" t="s">
        <v>101</v>
      </c>
      <c r="H98" s="8" t="s">
        <v>165</v>
      </c>
      <c r="I98" s="8" t="s">
        <v>166</v>
      </c>
      <c r="J98" s="8" t="s">
        <v>95</v>
      </c>
      <c r="K98" s="8">
        <v>2065.31</v>
      </c>
      <c r="L98" s="8" t="s">
        <v>236</v>
      </c>
      <c r="M98" s="8" t="s">
        <v>414</v>
      </c>
      <c r="N98" s="8" t="s">
        <v>19</v>
      </c>
    </row>
    <row r="99" spans="1:14" x14ac:dyDescent="0.2">
      <c r="A99" s="8">
        <v>98</v>
      </c>
      <c r="B99" s="8" t="s">
        <v>422</v>
      </c>
      <c r="C99" s="8" t="s">
        <v>23</v>
      </c>
      <c r="D99" s="8" t="s">
        <v>423</v>
      </c>
      <c r="E99" s="8" t="s">
        <v>68</v>
      </c>
      <c r="F99" s="8" t="s">
        <v>69</v>
      </c>
      <c r="G99" s="8" t="s">
        <v>71</v>
      </c>
      <c r="H99" s="8" t="s">
        <v>120</v>
      </c>
      <c r="I99" s="8" t="s">
        <v>121</v>
      </c>
      <c r="J99" s="8" t="s">
        <v>122</v>
      </c>
      <c r="K99" s="8">
        <v>3333.78</v>
      </c>
      <c r="L99" s="8" t="s">
        <v>231</v>
      </c>
      <c r="M99" s="8"/>
      <c r="N99" s="8" t="s">
        <v>15</v>
      </c>
    </row>
    <row r="100" spans="1:14" x14ac:dyDescent="0.2">
      <c r="A100" s="8">
        <v>99</v>
      </c>
      <c r="B100" s="8" t="s">
        <v>424</v>
      </c>
      <c r="C100" s="8" t="s">
        <v>23</v>
      </c>
      <c r="D100" s="8" t="s">
        <v>425</v>
      </c>
      <c r="E100" s="8" t="s">
        <v>84</v>
      </c>
      <c r="F100" s="8" t="s">
        <v>85</v>
      </c>
      <c r="G100" s="8" t="s">
        <v>83</v>
      </c>
      <c r="H100" s="8" t="s">
        <v>158</v>
      </c>
      <c r="I100" s="8" t="s">
        <v>159</v>
      </c>
      <c r="J100" s="8" t="s">
        <v>160</v>
      </c>
      <c r="K100" s="8">
        <v>2496.12</v>
      </c>
      <c r="L100" s="8" t="s">
        <v>248</v>
      </c>
      <c r="M100" s="8"/>
      <c r="N100" s="8" t="s">
        <v>15</v>
      </c>
    </row>
    <row r="101" spans="1:14" x14ac:dyDescent="0.2">
      <c r="A101" s="8">
        <v>100</v>
      </c>
      <c r="B101" s="8" t="s">
        <v>426</v>
      </c>
      <c r="C101" s="8" t="s">
        <v>16</v>
      </c>
      <c r="D101" s="8" t="s">
        <v>427</v>
      </c>
      <c r="E101" s="8" t="s">
        <v>45</v>
      </c>
      <c r="F101" s="8" t="s">
        <v>46</v>
      </c>
      <c r="G101" s="8" t="s">
        <v>44</v>
      </c>
      <c r="H101" s="8" t="s">
        <v>130</v>
      </c>
      <c r="I101" s="8" t="s">
        <v>131</v>
      </c>
      <c r="J101" s="8" t="s">
        <v>129</v>
      </c>
      <c r="K101" s="8">
        <v>3221.85</v>
      </c>
      <c r="L101" s="8" t="s">
        <v>231</v>
      </c>
      <c r="M101" s="8"/>
      <c r="N101" s="8" t="s">
        <v>15</v>
      </c>
    </row>
    <row r="102" spans="1:14" x14ac:dyDescent="0.2">
      <c r="A102" s="8">
        <v>101</v>
      </c>
      <c r="B102" s="8" t="s">
        <v>428</v>
      </c>
      <c r="C102" s="8" t="s">
        <v>23</v>
      </c>
      <c r="D102" s="8" t="s">
        <v>429</v>
      </c>
      <c r="E102" s="8" t="s">
        <v>54</v>
      </c>
      <c r="F102" s="8" t="s">
        <v>55</v>
      </c>
      <c r="G102" s="8" t="s">
        <v>50</v>
      </c>
      <c r="H102" s="8" t="s">
        <v>154</v>
      </c>
      <c r="I102" s="8" t="s">
        <v>155</v>
      </c>
      <c r="J102" s="8" t="s">
        <v>141</v>
      </c>
      <c r="K102" s="8">
        <v>3274.12</v>
      </c>
      <c r="L102" s="8" t="s">
        <v>231</v>
      </c>
      <c r="M102" s="8"/>
      <c r="N102" s="8" t="s">
        <v>17</v>
      </c>
    </row>
    <row r="103" spans="1:14" x14ac:dyDescent="0.2">
      <c r="A103" s="8">
        <v>102</v>
      </c>
      <c r="B103" s="8" t="s">
        <v>430</v>
      </c>
      <c r="C103" s="8" t="s">
        <v>21</v>
      </c>
      <c r="D103" s="8" t="s">
        <v>431</v>
      </c>
      <c r="E103" s="8" t="s">
        <v>102</v>
      </c>
      <c r="F103" s="8" t="s">
        <v>103</v>
      </c>
      <c r="G103" s="8" t="s">
        <v>101</v>
      </c>
      <c r="H103" s="8" t="s">
        <v>132</v>
      </c>
      <c r="I103" s="8" t="s">
        <v>133</v>
      </c>
      <c r="J103" s="8" t="s">
        <v>129</v>
      </c>
      <c r="K103" s="8">
        <v>4054.9</v>
      </c>
      <c r="L103" s="8" t="s">
        <v>231</v>
      </c>
      <c r="M103" s="8"/>
      <c r="N103" s="8" t="s">
        <v>17</v>
      </c>
    </row>
    <row r="104" spans="1:14" x14ac:dyDescent="0.2">
      <c r="A104" s="8">
        <v>103</v>
      </c>
      <c r="B104" s="8" t="s">
        <v>432</v>
      </c>
      <c r="C104" s="8" t="s">
        <v>21</v>
      </c>
      <c r="D104" s="8" t="s">
        <v>433</v>
      </c>
      <c r="E104" s="8" t="s">
        <v>62</v>
      </c>
      <c r="F104" s="8" t="s">
        <v>63</v>
      </c>
      <c r="G104" s="8" t="s">
        <v>65</v>
      </c>
      <c r="H104" s="8" t="s">
        <v>146</v>
      </c>
      <c r="I104" s="8" t="s">
        <v>147</v>
      </c>
      <c r="J104" s="8" t="s">
        <v>65</v>
      </c>
      <c r="K104" s="8">
        <v>138.31</v>
      </c>
      <c r="L104" s="8" t="s">
        <v>231</v>
      </c>
      <c r="M104" s="8"/>
      <c r="N104" s="8" t="s">
        <v>15</v>
      </c>
    </row>
    <row r="105" spans="1:14" x14ac:dyDescent="0.2">
      <c r="A105" s="8">
        <v>104</v>
      </c>
      <c r="B105" s="8" t="s">
        <v>434</v>
      </c>
      <c r="C105" s="8" t="s">
        <v>16</v>
      </c>
      <c r="D105" s="8" t="s">
        <v>435</v>
      </c>
      <c r="E105" s="8" t="s">
        <v>41</v>
      </c>
      <c r="F105" s="8" t="s">
        <v>42</v>
      </c>
      <c r="G105" s="8" t="s">
        <v>44</v>
      </c>
      <c r="H105" s="8" t="s">
        <v>130</v>
      </c>
      <c r="I105" s="8" t="s">
        <v>131</v>
      </c>
      <c r="J105" s="8" t="s">
        <v>129</v>
      </c>
      <c r="K105" s="8">
        <v>2932.41</v>
      </c>
      <c r="L105" s="8" t="s">
        <v>231</v>
      </c>
      <c r="M105" s="8"/>
      <c r="N105" s="8" t="s">
        <v>15</v>
      </c>
    </row>
    <row r="106" spans="1:14" x14ac:dyDescent="0.2">
      <c r="A106" s="8">
        <v>105</v>
      </c>
      <c r="B106" s="8" t="s">
        <v>436</v>
      </c>
      <c r="C106" s="8" t="s">
        <v>16</v>
      </c>
      <c r="D106" s="8" t="s">
        <v>437</v>
      </c>
      <c r="E106" s="8" t="s">
        <v>96</v>
      </c>
      <c r="F106" s="8" t="s">
        <v>97</v>
      </c>
      <c r="G106" s="8" t="s">
        <v>95</v>
      </c>
      <c r="H106" s="8" t="s">
        <v>165</v>
      </c>
      <c r="I106" s="8" t="s">
        <v>166</v>
      </c>
      <c r="J106" s="8" t="s">
        <v>95</v>
      </c>
      <c r="K106" s="8">
        <v>357.24</v>
      </c>
      <c r="L106" s="8" t="s">
        <v>231</v>
      </c>
      <c r="M106" s="8"/>
      <c r="N106" s="8" t="s">
        <v>15</v>
      </c>
    </row>
    <row r="107" spans="1:14" x14ac:dyDescent="0.2">
      <c r="A107" s="8">
        <v>106</v>
      </c>
      <c r="B107" s="8" t="s">
        <v>438</v>
      </c>
      <c r="C107" s="8" t="s">
        <v>23</v>
      </c>
      <c r="D107" s="8" t="s">
        <v>439</v>
      </c>
      <c r="E107" s="8" t="s">
        <v>54</v>
      </c>
      <c r="F107" s="8" t="s">
        <v>55</v>
      </c>
      <c r="G107" s="8" t="s">
        <v>50</v>
      </c>
      <c r="H107" s="8" t="s">
        <v>130</v>
      </c>
      <c r="I107" s="8" t="s">
        <v>131</v>
      </c>
      <c r="J107" s="8" t="s">
        <v>129</v>
      </c>
      <c r="K107" s="8">
        <v>2689.21</v>
      </c>
      <c r="L107" s="8" t="s">
        <v>231</v>
      </c>
      <c r="M107" s="8"/>
      <c r="N107" s="8" t="s">
        <v>15</v>
      </c>
    </row>
    <row r="108" spans="1:14" x14ac:dyDescent="0.2">
      <c r="A108" s="8">
        <v>107</v>
      </c>
      <c r="B108" s="8" t="s">
        <v>440</v>
      </c>
      <c r="C108" s="8" t="s">
        <v>23</v>
      </c>
      <c r="D108" s="8" t="s">
        <v>441</v>
      </c>
      <c r="E108" s="8" t="s">
        <v>102</v>
      </c>
      <c r="F108" s="8" t="s">
        <v>103</v>
      </c>
      <c r="G108" s="8" t="s">
        <v>101</v>
      </c>
      <c r="H108" s="8" t="s">
        <v>115</v>
      </c>
      <c r="I108" s="8" t="s">
        <v>116</v>
      </c>
      <c r="J108" s="8" t="s">
        <v>117</v>
      </c>
      <c r="K108" s="8">
        <v>306.49</v>
      </c>
      <c r="L108" s="8" t="s">
        <v>231</v>
      </c>
      <c r="M108" s="8"/>
      <c r="N108" s="8" t="s">
        <v>17</v>
      </c>
    </row>
    <row r="109" spans="1:14" x14ac:dyDescent="0.2">
      <c r="A109" s="8">
        <v>108</v>
      </c>
      <c r="B109" s="8" t="s">
        <v>442</v>
      </c>
      <c r="C109" s="8" t="s">
        <v>20</v>
      </c>
      <c r="D109" s="8" t="s">
        <v>443</v>
      </c>
      <c r="E109" s="8" t="s">
        <v>54</v>
      </c>
      <c r="F109" s="8" t="s">
        <v>55</v>
      </c>
      <c r="G109" s="8" t="s">
        <v>50</v>
      </c>
      <c r="H109" s="8" t="s">
        <v>190</v>
      </c>
      <c r="I109" s="8" t="s">
        <v>191</v>
      </c>
      <c r="J109" s="8" t="s">
        <v>192</v>
      </c>
      <c r="K109" s="8">
        <v>400.74</v>
      </c>
      <c r="L109" s="8" t="s">
        <v>231</v>
      </c>
      <c r="M109" s="8"/>
      <c r="N109" s="8" t="s">
        <v>15</v>
      </c>
    </row>
    <row r="110" spans="1:14" x14ac:dyDescent="0.2">
      <c r="A110" s="8">
        <v>109</v>
      </c>
      <c r="B110" s="8" t="s">
        <v>444</v>
      </c>
      <c r="C110" s="8" t="s">
        <v>24</v>
      </c>
      <c r="D110" s="8" t="s">
        <v>445</v>
      </c>
      <c r="E110" s="8" t="s">
        <v>51</v>
      </c>
      <c r="F110" s="8" t="s">
        <v>52</v>
      </c>
      <c r="G110" s="8" t="s">
        <v>50</v>
      </c>
      <c r="H110" s="8" t="s">
        <v>142</v>
      </c>
      <c r="I110" s="8" t="s">
        <v>143</v>
      </c>
      <c r="J110" s="8" t="s">
        <v>141</v>
      </c>
      <c r="K110" s="8">
        <v>1122.6600000000001</v>
      </c>
      <c r="L110" s="8" t="s">
        <v>231</v>
      </c>
      <c r="M110" s="8"/>
      <c r="N110" s="8" t="s">
        <v>17</v>
      </c>
    </row>
    <row r="111" spans="1:14" x14ac:dyDescent="0.2">
      <c r="A111" s="8">
        <v>110</v>
      </c>
      <c r="B111" s="8" t="s">
        <v>446</v>
      </c>
      <c r="C111" s="8" t="s">
        <v>18</v>
      </c>
      <c r="D111" s="8" t="s">
        <v>329</v>
      </c>
      <c r="E111" s="8" t="s">
        <v>78</v>
      </c>
      <c r="F111" s="8" t="s">
        <v>79</v>
      </c>
      <c r="G111" s="8" t="s">
        <v>77</v>
      </c>
      <c r="H111" s="8" t="s">
        <v>146</v>
      </c>
      <c r="I111" s="8" t="s">
        <v>147</v>
      </c>
      <c r="J111" s="8" t="s">
        <v>65</v>
      </c>
      <c r="K111" s="8">
        <v>4149.0600000000004</v>
      </c>
      <c r="L111" s="8" t="s">
        <v>236</v>
      </c>
      <c r="M111" s="8" t="s">
        <v>414</v>
      </c>
      <c r="N111" s="8" t="s">
        <v>19</v>
      </c>
    </row>
    <row r="112" spans="1:14" x14ac:dyDescent="0.2">
      <c r="A112" s="8">
        <v>111</v>
      </c>
      <c r="B112" s="8" t="s">
        <v>447</v>
      </c>
      <c r="C112" s="8" t="s">
        <v>22</v>
      </c>
      <c r="D112" s="8" t="s">
        <v>448</v>
      </c>
      <c r="E112" s="8" t="s">
        <v>78</v>
      </c>
      <c r="F112" s="8" t="s">
        <v>79</v>
      </c>
      <c r="G112" s="8" t="s">
        <v>77</v>
      </c>
      <c r="H112" s="8" t="s">
        <v>154</v>
      </c>
      <c r="I112" s="8" t="s">
        <v>155</v>
      </c>
      <c r="J112" s="8" t="s">
        <v>141</v>
      </c>
      <c r="K112" s="8">
        <v>1053.47</v>
      </c>
      <c r="L112" s="8" t="s">
        <v>231</v>
      </c>
      <c r="M112" s="8"/>
      <c r="N112" s="8" t="s">
        <v>17</v>
      </c>
    </row>
    <row r="113" spans="1:14" x14ac:dyDescent="0.2">
      <c r="A113" s="8">
        <v>112</v>
      </c>
      <c r="B113" s="8" t="s">
        <v>449</v>
      </c>
      <c r="C113" s="8" t="s">
        <v>22</v>
      </c>
      <c r="D113" s="8" t="s">
        <v>343</v>
      </c>
      <c r="E113" s="8" t="s">
        <v>102</v>
      </c>
      <c r="F113" s="8" t="s">
        <v>103</v>
      </c>
      <c r="G113" s="8" t="s">
        <v>101</v>
      </c>
      <c r="H113" s="8" t="s">
        <v>118</v>
      </c>
      <c r="I113" s="8" t="s">
        <v>119</v>
      </c>
      <c r="J113" s="8" t="s">
        <v>117</v>
      </c>
      <c r="K113" s="8">
        <v>2409.46</v>
      </c>
      <c r="L113" s="8" t="s">
        <v>236</v>
      </c>
      <c r="M113" s="8" t="s">
        <v>237</v>
      </c>
      <c r="N113" s="8" t="s">
        <v>17</v>
      </c>
    </row>
    <row r="114" spans="1:14" x14ac:dyDescent="0.2">
      <c r="A114" s="8">
        <v>113</v>
      </c>
      <c r="B114" s="8" t="s">
        <v>450</v>
      </c>
      <c r="C114" s="8" t="s">
        <v>20</v>
      </c>
      <c r="D114" s="8" t="s">
        <v>350</v>
      </c>
      <c r="E114" s="8" t="s">
        <v>33</v>
      </c>
      <c r="F114" s="8" t="s">
        <v>34</v>
      </c>
      <c r="G114" s="8" t="s">
        <v>32</v>
      </c>
      <c r="H114" s="8" t="s">
        <v>120</v>
      </c>
      <c r="I114" s="8" t="s">
        <v>121</v>
      </c>
      <c r="J114" s="8" t="s">
        <v>122</v>
      </c>
      <c r="K114" s="8">
        <v>2701.05</v>
      </c>
      <c r="L114" s="8" t="s">
        <v>231</v>
      </c>
      <c r="M114" s="8"/>
      <c r="N114" s="8" t="s">
        <v>15</v>
      </c>
    </row>
    <row r="115" spans="1:14" x14ac:dyDescent="0.2">
      <c r="A115" s="8">
        <v>114</v>
      </c>
      <c r="B115" s="8" t="s">
        <v>451</v>
      </c>
      <c r="C115" s="8" t="s">
        <v>23</v>
      </c>
      <c r="D115" s="8" t="s">
        <v>452</v>
      </c>
      <c r="E115" s="8" t="s">
        <v>98</v>
      </c>
      <c r="F115" s="8" t="s">
        <v>99</v>
      </c>
      <c r="G115" s="8" t="s">
        <v>101</v>
      </c>
      <c r="H115" s="8" t="s">
        <v>115</v>
      </c>
      <c r="I115" s="8" t="s">
        <v>116</v>
      </c>
      <c r="J115" s="8" t="s">
        <v>117</v>
      </c>
      <c r="K115" s="8">
        <v>1893.4</v>
      </c>
      <c r="L115" s="8" t="s">
        <v>231</v>
      </c>
      <c r="M115" s="8"/>
      <c r="N115" s="8" t="s">
        <v>17</v>
      </c>
    </row>
    <row r="116" spans="1:14" x14ac:dyDescent="0.2">
      <c r="A116" s="8">
        <v>115</v>
      </c>
      <c r="B116" s="8" t="s">
        <v>453</v>
      </c>
      <c r="C116" s="8" t="s">
        <v>20</v>
      </c>
      <c r="D116" s="8" t="s">
        <v>421</v>
      </c>
      <c r="E116" s="8" t="s">
        <v>39</v>
      </c>
      <c r="F116" s="8" t="s">
        <v>40</v>
      </c>
      <c r="G116" s="8" t="s">
        <v>38</v>
      </c>
      <c r="H116" s="8" t="s">
        <v>132</v>
      </c>
      <c r="I116" s="8" t="s">
        <v>133</v>
      </c>
      <c r="J116" s="8" t="s">
        <v>129</v>
      </c>
      <c r="K116" s="8">
        <v>903.28</v>
      </c>
      <c r="L116" s="8" t="s">
        <v>236</v>
      </c>
      <c r="M116" s="8" t="s">
        <v>237</v>
      </c>
      <c r="N116" s="8" t="s">
        <v>17</v>
      </c>
    </row>
    <row r="117" spans="1:14" x14ac:dyDescent="0.2">
      <c r="A117" s="8">
        <v>116</v>
      </c>
      <c r="B117" s="8" t="s">
        <v>454</v>
      </c>
      <c r="C117" s="8" t="s">
        <v>23</v>
      </c>
      <c r="D117" s="8" t="s">
        <v>455</v>
      </c>
      <c r="E117" s="8" t="s">
        <v>66</v>
      </c>
      <c r="F117" s="8" t="s">
        <v>67</v>
      </c>
      <c r="G117" s="8" t="s">
        <v>65</v>
      </c>
      <c r="H117" s="8" t="s">
        <v>130</v>
      </c>
      <c r="I117" s="8" t="s">
        <v>131</v>
      </c>
      <c r="J117" s="8" t="s">
        <v>129</v>
      </c>
      <c r="K117" s="8">
        <v>1292.46</v>
      </c>
      <c r="L117" s="8" t="s">
        <v>248</v>
      </c>
      <c r="M117" s="8"/>
      <c r="N117" s="8" t="s">
        <v>17</v>
      </c>
    </row>
    <row r="118" spans="1:14" x14ac:dyDescent="0.2">
      <c r="A118" s="8">
        <v>117</v>
      </c>
      <c r="B118" s="8" t="s">
        <v>456</v>
      </c>
      <c r="C118" s="8" t="s">
        <v>23</v>
      </c>
      <c r="D118" s="8" t="s">
        <v>457</v>
      </c>
      <c r="E118" s="8" t="s">
        <v>74</v>
      </c>
      <c r="F118" s="8" t="s">
        <v>75</v>
      </c>
      <c r="G118" s="8" t="s">
        <v>77</v>
      </c>
      <c r="H118" s="8" t="s">
        <v>142</v>
      </c>
      <c r="I118" s="8" t="s">
        <v>143</v>
      </c>
      <c r="J118" s="8" t="s">
        <v>141</v>
      </c>
      <c r="K118" s="8">
        <v>3393.92</v>
      </c>
      <c r="L118" s="8" t="s">
        <v>231</v>
      </c>
      <c r="M118" s="8"/>
      <c r="N118" s="8" t="s">
        <v>17</v>
      </c>
    </row>
    <row r="119" spans="1:14" x14ac:dyDescent="0.2">
      <c r="A119" s="8">
        <v>118</v>
      </c>
      <c r="B119" s="8" t="s">
        <v>458</v>
      </c>
      <c r="C119" s="8" t="s">
        <v>18</v>
      </c>
      <c r="D119" s="8" t="s">
        <v>459</v>
      </c>
      <c r="E119" s="8" t="s">
        <v>33</v>
      </c>
      <c r="F119" s="8" t="s">
        <v>34</v>
      </c>
      <c r="G119" s="8" t="s">
        <v>32</v>
      </c>
      <c r="H119" s="8" t="s">
        <v>182</v>
      </c>
      <c r="I119" s="8" t="s">
        <v>183</v>
      </c>
      <c r="J119" s="8" t="s">
        <v>184</v>
      </c>
      <c r="K119" s="8">
        <v>2850.42</v>
      </c>
      <c r="L119" s="8" t="s">
        <v>231</v>
      </c>
      <c r="M119" s="8"/>
      <c r="N119" s="8" t="s">
        <v>15</v>
      </c>
    </row>
    <row r="120" spans="1:14" x14ac:dyDescent="0.2">
      <c r="A120" s="8">
        <v>119</v>
      </c>
      <c r="B120" s="8" t="s">
        <v>460</v>
      </c>
      <c r="C120" s="8" t="s">
        <v>22</v>
      </c>
      <c r="D120" s="8" t="s">
        <v>461</v>
      </c>
      <c r="E120" s="8" t="s">
        <v>96</v>
      </c>
      <c r="F120" s="8" t="s">
        <v>97</v>
      </c>
      <c r="G120" s="8" t="s">
        <v>95</v>
      </c>
      <c r="H120" s="8" t="s">
        <v>163</v>
      </c>
      <c r="I120" s="8" t="s">
        <v>164</v>
      </c>
      <c r="J120" s="8" t="s">
        <v>95</v>
      </c>
      <c r="K120" s="8">
        <v>2630.63</v>
      </c>
      <c r="L120" s="8" t="s">
        <v>248</v>
      </c>
      <c r="M120" s="8"/>
      <c r="N120" s="8" t="s">
        <v>15</v>
      </c>
    </row>
    <row r="121" spans="1:14" x14ac:dyDescent="0.2">
      <c r="A121" s="8">
        <v>120</v>
      </c>
      <c r="B121" s="8" t="s">
        <v>462</v>
      </c>
      <c r="C121" s="8" t="s">
        <v>24</v>
      </c>
      <c r="D121" s="8" t="s">
        <v>463</v>
      </c>
      <c r="E121" s="8" t="s">
        <v>86</v>
      </c>
      <c r="F121" s="8" t="s">
        <v>87</v>
      </c>
      <c r="G121" s="8" t="s">
        <v>89</v>
      </c>
      <c r="H121" s="8" t="s">
        <v>169</v>
      </c>
      <c r="I121" s="8" t="s">
        <v>170</v>
      </c>
      <c r="J121" s="8" t="s">
        <v>89</v>
      </c>
      <c r="K121" s="8">
        <v>1759.22</v>
      </c>
      <c r="L121" s="8" t="s">
        <v>231</v>
      </c>
      <c r="M121" s="8"/>
      <c r="N121" s="8" t="s">
        <v>15</v>
      </c>
    </row>
    <row r="122" spans="1:14" x14ac:dyDescent="0.2">
      <c r="A122" s="8">
        <v>121</v>
      </c>
      <c r="B122" s="8" t="s">
        <v>464</v>
      </c>
      <c r="C122" s="8" t="s">
        <v>16</v>
      </c>
      <c r="D122" s="8" t="s">
        <v>465</v>
      </c>
      <c r="E122" s="8" t="s">
        <v>60</v>
      </c>
      <c r="F122" s="8" t="s">
        <v>61</v>
      </c>
      <c r="G122" s="8" t="s">
        <v>59</v>
      </c>
      <c r="H122" s="8" t="s">
        <v>150</v>
      </c>
      <c r="I122" s="8" t="s">
        <v>151</v>
      </c>
      <c r="J122" s="8" t="s">
        <v>59</v>
      </c>
      <c r="K122" s="8">
        <v>634.61</v>
      </c>
      <c r="L122" s="8" t="s">
        <v>231</v>
      </c>
      <c r="M122" s="8"/>
      <c r="N122" s="8" t="s">
        <v>15</v>
      </c>
    </row>
    <row r="123" spans="1:14" x14ac:dyDescent="0.2">
      <c r="A123" s="8">
        <v>122</v>
      </c>
      <c r="B123" s="8" t="s">
        <v>466</v>
      </c>
      <c r="C123" s="8" t="s">
        <v>23</v>
      </c>
      <c r="D123" s="8" t="s">
        <v>467</v>
      </c>
      <c r="E123" s="8" t="s">
        <v>102</v>
      </c>
      <c r="F123" s="8" t="s">
        <v>103</v>
      </c>
      <c r="G123" s="8" t="s">
        <v>101</v>
      </c>
      <c r="H123" s="8" t="s">
        <v>118</v>
      </c>
      <c r="I123" s="8" t="s">
        <v>119</v>
      </c>
      <c r="J123" s="8" t="s">
        <v>117</v>
      </c>
      <c r="K123" s="8">
        <v>2093.56</v>
      </c>
      <c r="L123" s="8" t="s">
        <v>231</v>
      </c>
      <c r="M123" s="8"/>
      <c r="N123" s="8" t="s">
        <v>17</v>
      </c>
    </row>
    <row r="124" spans="1:14" x14ac:dyDescent="0.2">
      <c r="A124" s="8">
        <v>123</v>
      </c>
      <c r="B124" s="8" t="s">
        <v>468</v>
      </c>
      <c r="C124" s="8" t="s">
        <v>20</v>
      </c>
      <c r="D124" s="8" t="s">
        <v>469</v>
      </c>
      <c r="E124" s="8" t="s">
        <v>33</v>
      </c>
      <c r="F124" s="8" t="s">
        <v>34</v>
      </c>
      <c r="G124" s="8" t="s">
        <v>32</v>
      </c>
      <c r="H124" s="8" t="s">
        <v>111</v>
      </c>
      <c r="I124" s="8" t="s">
        <v>112</v>
      </c>
      <c r="J124" s="8" t="s">
        <v>110</v>
      </c>
      <c r="K124" s="8">
        <v>3603.73</v>
      </c>
      <c r="L124" s="8" t="s">
        <v>231</v>
      </c>
      <c r="M124" s="8"/>
      <c r="N124" s="8" t="s">
        <v>15</v>
      </c>
    </row>
    <row r="125" spans="1:14" x14ac:dyDescent="0.2">
      <c r="A125" s="8">
        <v>124</v>
      </c>
      <c r="B125" s="8" t="s">
        <v>470</v>
      </c>
      <c r="C125" s="8" t="s">
        <v>20</v>
      </c>
      <c r="D125" s="8" t="s">
        <v>423</v>
      </c>
      <c r="E125" s="8" t="s">
        <v>84</v>
      </c>
      <c r="F125" s="8" t="s">
        <v>85</v>
      </c>
      <c r="G125" s="8" t="s">
        <v>83</v>
      </c>
      <c r="H125" s="8" t="s">
        <v>158</v>
      </c>
      <c r="I125" s="8" t="s">
        <v>159</v>
      </c>
      <c r="J125" s="8" t="s">
        <v>160</v>
      </c>
      <c r="K125" s="8">
        <v>4068.85</v>
      </c>
      <c r="L125" s="8" t="s">
        <v>248</v>
      </c>
      <c r="M125" s="8"/>
      <c r="N125" s="8" t="s">
        <v>15</v>
      </c>
    </row>
    <row r="126" spans="1:14" x14ac:dyDescent="0.2">
      <c r="A126" s="8">
        <v>125</v>
      </c>
      <c r="B126" s="8" t="s">
        <v>471</v>
      </c>
      <c r="C126" s="8" t="s">
        <v>23</v>
      </c>
      <c r="D126" s="8" t="s">
        <v>287</v>
      </c>
      <c r="E126" s="8" t="s">
        <v>35</v>
      </c>
      <c r="F126" s="8" t="s">
        <v>36</v>
      </c>
      <c r="G126" s="8" t="s">
        <v>38</v>
      </c>
      <c r="H126" s="8" t="s">
        <v>134</v>
      </c>
      <c r="I126" s="8" t="s">
        <v>135</v>
      </c>
      <c r="J126" s="8" t="s">
        <v>136</v>
      </c>
      <c r="K126" s="8">
        <v>1450.73</v>
      </c>
      <c r="L126" s="8" t="s">
        <v>248</v>
      </c>
      <c r="M126" s="8"/>
      <c r="N126" s="8" t="s">
        <v>15</v>
      </c>
    </row>
    <row r="127" spans="1:14" x14ac:dyDescent="0.2">
      <c r="A127" s="8">
        <v>126</v>
      </c>
      <c r="B127" s="8" t="s">
        <v>472</v>
      </c>
      <c r="C127" s="8" t="s">
        <v>18</v>
      </c>
      <c r="D127" s="8" t="s">
        <v>473</v>
      </c>
      <c r="E127" s="8" t="s">
        <v>47</v>
      </c>
      <c r="F127" s="8" t="s">
        <v>48</v>
      </c>
      <c r="G127" s="8" t="s">
        <v>50</v>
      </c>
      <c r="H127" s="8" t="s">
        <v>142</v>
      </c>
      <c r="I127" s="8" t="s">
        <v>143</v>
      </c>
      <c r="J127" s="8" t="s">
        <v>141</v>
      </c>
      <c r="K127" s="8">
        <v>3269.27</v>
      </c>
      <c r="L127" s="8" t="s">
        <v>236</v>
      </c>
      <c r="M127" s="8" t="s">
        <v>237</v>
      </c>
      <c r="N127" s="8" t="s">
        <v>17</v>
      </c>
    </row>
    <row r="128" spans="1:14" x14ac:dyDescent="0.2">
      <c r="A128" s="8">
        <v>127</v>
      </c>
      <c r="B128" s="8" t="s">
        <v>474</v>
      </c>
      <c r="C128" s="8" t="s">
        <v>22</v>
      </c>
      <c r="D128" s="8" t="s">
        <v>475</v>
      </c>
      <c r="E128" s="8" t="s">
        <v>56</v>
      </c>
      <c r="F128" s="8" t="s">
        <v>57</v>
      </c>
      <c r="G128" s="8" t="s">
        <v>59</v>
      </c>
      <c r="H128" s="8" t="s">
        <v>152</v>
      </c>
      <c r="I128" s="8" t="s">
        <v>153</v>
      </c>
      <c r="J128" s="8" t="s">
        <v>59</v>
      </c>
      <c r="K128" s="8">
        <v>2801.86</v>
      </c>
      <c r="L128" s="8" t="s">
        <v>231</v>
      </c>
      <c r="M128" s="8"/>
      <c r="N128" s="8" t="s">
        <v>15</v>
      </c>
    </row>
    <row r="129" spans="1:14" x14ac:dyDescent="0.2">
      <c r="A129" s="8">
        <v>128</v>
      </c>
      <c r="B129" s="8" t="s">
        <v>476</v>
      </c>
      <c r="C129" s="8" t="s">
        <v>18</v>
      </c>
      <c r="D129" s="8" t="s">
        <v>475</v>
      </c>
      <c r="E129" s="8" t="s">
        <v>54</v>
      </c>
      <c r="F129" s="8" t="s">
        <v>55</v>
      </c>
      <c r="G129" s="8" t="s">
        <v>50</v>
      </c>
      <c r="H129" s="8" t="s">
        <v>150</v>
      </c>
      <c r="I129" s="8" t="s">
        <v>151</v>
      </c>
      <c r="J129" s="8" t="s">
        <v>59</v>
      </c>
      <c r="K129" s="8">
        <v>291.14999999999998</v>
      </c>
      <c r="L129" s="8" t="s">
        <v>236</v>
      </c>
      <c r="M129" s="8" t="s">
        <v>348</v>
      </c>
      <c r="N129" s="8" t="s">
        <v>19</v>
      </c>
    </row>
    <row r="130" spans="1:14" x14ac:dyDescent="0.2">
      <c r="A130" s="8">
        <v>129</v>
      </c>
      <c r="B130" s="8" t="s">
        <v>477</v>
      </c>
      <c r="C130" s="8" t="s">
        <v>16</v>
      </c>
      <c r="D130" s="8" t="s">
        <v>478</v>
      </c>
      <c r="E130" s="8" t="s">
        <v>78</v>
      </c>
      <c r="F130" s="8" t="s">
        <v>79</v>
      </c>
      <c r="G130" s="8" t="s">
        <v>77</v>
      </c>
      <c r="H130" s="8" t="s">
        <v>156</v>
      </c>
      <c r="I130" s="8" t="s">
        <v>157</v>
      </c>
      <c r="J130" s="8" t="s">
        <v>77</v>
      </c>
      <c r="K130" s="8">
        <v>988.89</v>
      </c>
      <c r="L130" s="8" t="s">
        <v>231</v>
      </c>
      <c r="M130" s="8"/>
      <c r="N130" s="8" t="s">
        <v>15</v>
      </c>
    </row>
    <row r="131" spans="1:14" x14ac:dyDescent="0.2">
      <c r="A131" s="8">
        <v>130</v>
      </c>
      <c r="B131" s="8" t="s">
        <v>479</v>
      </c>
      <c r="C131" s="8" t="s">
        <v>21</v>
      </c>
      <c r="D131" s="8" t="s">
        <v>480</v>
      </c>
      <c r="E131" s="8" t="s">
        <v>96</v>
      </c>
      <c r="F131" s="8" t="s">
        <v>97</v>
      </c>
      <c r="G131" s="8" t="s">
        <v>95</v>
      </c>
      <c r="H131" s="8" t="s">
        <v>163</v>
      </c>
      <c r="I131" s="8" t="s">
        <v>164</v>
      </c>
      <c r="J131" s="8" t="s">
        <v>95</v>
      </c>
      <c r="K131" s="8">
        <v>3570.11</v>
      </c>
      <c r="L131" s="8" t="s">
        <v>231</v>
      </c>
      <c r="M131" s="8"/>
      <c r="N131" s="8" t="s">
        <v>15</v>
      </c>
    </row>
    <row r="132" spans="1:14" x14ac:dyDescent="0.2">
      <c r="A132" s="8">
        <v>131</v>
      </c>
      <c r="B132" s="8" t="s">
        <v>481</v>
      </c>
      <c r="C132" s="8" t="s">
        <v>16</v>
      </c>
      <c r="D132" s="8" t="s">
        <v>482</v>
      </c>
      <c r="E132" s="8" t="s">
        <v>102</v>
      </c>
      <c r="F132" s="8" t="s">
        <v>103</v>
      </c>
      <c r="G132" s="8" t="s">
        <v>101</v>
      </c>
      <c r="H132" s="8" t="s">
        <v>120</v>
      </c>
      <c r="I132" s="8" t="s">
        <v>121</v>
      </c>
      <c r="J132" s="8" t="s">
        <v>122</v>
      </c>
      <c r="K132" s="8">
        <v>686.88</v>
      </c>
      <c r="L132" s="8" t="s">
        <v>231</v>
      </c>
      <c r="M132" s="8"/>
      <c r="N132" s="8" t="s">
        <v>19</v>
      </c>
    </row>
    <row r="133" spans="1:14" x14ac:dyDescent="0.2">
      <c r="A133" s="8">
        <v>132</v>
      </c>
      <c r="B133" s="8" t="s">
        <v>483</v>
      </c>
      <c r="C133" s="8" t="s">
        <v>16</v>
      </c>
      <c r="D133" s="8" t="s">
        <v>484</v>
      </c>
      <c r="E133" s="8" t="s">
        <v>90</v>
      </c>
      <c r="F133" s="8" t="s">
        <v>91</v>
      </c>
      <c r="G133" s="8" t="s">
        <v>89</v>
      </c>
      <c r="H133" s="8" t="s">
        <v>169</v>
      </c>
      <c r="I133" s="8" t="s">
        <v>170</v>
      </c>
      <c r="J133" s="8" t="s">
        <v>89</v>
      </c>
      <c r="K133" s="8">
        <v>2572.39</v>
      </c>
      <c r="L133" s="8" t="s">
        <v>231</v>
      </c>
      <c r="M133" s="8"/>
      <c r="N133" s="8" t="s">
        <v>15</v>
      </c>
    </row>
    <row r="134" spans="1:14" x14ac:dyDescent="0.2">
      <c r="A134" s="8">
        <v>133</v>
      </c>
      <c r="B134" s="8" t="s">
        <v>485</v>
      </c>
      <c r="C134" s="8" t="s">
        <v>21</v>
      </c>
      <c r="D134" s="8" t="s">
        <v>486</v>
      </c>
      <c r="E134" s="8" t="s">
        <v>92</v>
      </c>
      <c r="F134" s="8" t="s">
        <v>93</v>
      </c>
      <c r="G134" s="8" t="s">
        <v>95</v>
      </c>
      <c r="H134" s="8" t="s">
        <v>165</v>
      </c>
      <c r="I134" s="8" t="s">
        <v>166</v>
      </c>
      <c r="J134" s="8" t="s">
        <v>95</v>
      </c>
      <c r="K134" s="8">
        <v>1473.09</v>
      </c>
      <c r="L134" s="8" t="s">
        <v>231</v>
      </c>
      <c r="M134" s="8"/>
      <c r="N134" s="8" t="s">
        <v>15</v>
      </c>
    </row>
    <row r="135" spans="1:14" x14ac:dyDescent="0.2">
      <c r="A135" s="8">
        <v>134</v>
      </c>
      <c r="B135" s="8" t="s">
        <v>487</v>
      </c>
      <c r="C135" s="8" t="s">
        <v>18</v>
      </c>
      <c r="D135" s="8" t="s">
        <v>488</v>
      </c>
      <c r="E135" s="8" t="s">
        <v>39</v>
      </c>
      <c r="F135" s="8" t="s">
        <v>40</v>
      </c>
      <c r="G135" s="8" t="s">
        <v>38</v>
      </c>
      <c r="H135" s="8" t="s">
        <v>130</v>
      </c>
      <c r="I135" s="8" t="s">
        <v>131</v>
      </c>
      <c r="J135" s="8" t="s">
        <v>129</v>
      </c>
      <c r="K135" s="8">
        <v>4008.57</v>
      </c>
      <c r="L135" s="8" t="s">
        <v>236</v>
      </c>
      <c r="M135" s="8" t="s">
        <v>237</v>
      </c>
      <c r="N135" s="8" t="s">
        <v>17</v>
      </c>
    </row>
    <row r="136" spans="1:14" x14ac:dyDescent="0.2">
      <c r="A136" s="8">
        <v>135</v>
      </c>
      <c r="B136" s="8" t="s">
        <v>489</v>
      </c>
      <c r="C136" s="8" t="s">
        <v>24</v>
      </c>
      <c r="D136" s="8" t="s">
        <v>490</v>
      </c>
      <c r="E136" s="8" t="s">
        <v>35</v>
      </c>
      <c r="F136" s="8" t="s">
        <v>36</v>
      </c>
      <c r="G136" s="8" t="s">
        <v>38</v>
      </c>
      <c r="H136" s="8" t="s">
        <v>111</v>
      </c>
      <c r="I136" s="8" t="s">
        <v>112</v>
      </c>
      <c r="J136" s="8" t="s">
        <v>110</v>
      </c>
      <c r="K136" s="8">
        <v>3122.53</v>
      </c>
      <c r="L136" s="8" t="s">
        <v>231</v>
      </c>
      <c r="M136" s="8"/>
      <c r="N136" s="8" t="s">
        <v>15</v>
      </c>
    </row>
    <row r="137" spans="1:14" x14ac:dyDescent="0.2">
      <c r="A137" s="8">
        <v>136</v>
      </c>
      <c r="B137" s="8" t="s">
        <v>491</v>
      </c>
      <c r="C137" s="8" t="s">
        <v>23</v>
      </c>
      <c r="D137" s="8" t="s">
        <v>492</v>
      </c>
      <c r="E137" s="8" t="s">
        <v>90</v>
      </c>
      <c r="F137" s="8" t="s">
        <v>91</v>
      </c>
      <c r="G137" s="8" t="s">
        <v>89</v>
      </c>
      <c r="H137" s="8" t="s">
        <v>169</v>
      </c>
      <c r="I137" s="8" t="s">
        <v>170</v>
      </c>
      <c r="J137" s="8" t="s">
        <v>89</v>
      </c>
      <c r="K137" s="8">
        <v>2819.53</v>
      </c>
      <c r="L137" s="8" t="s">
        <v>231</v>
      </c>
      <c r="M137" s="8"/>
      <c r="N137" s="8" t="s">
        <v>15</v>
      </c>
    </row>
    <row r="138" spans="1:14" x14ac:dyDescent="0.2">
      <c r="A138" s="8">
        <v>137</v>
      </c>
      <c r="B138" s="8" t="s">
        <v>493</v>
      </c>
      <c r="C138" s="8" t="s">
        <v>18</v>
      </c>
      <c r="D138" s="8" t="s">
        <v>494</v>
      </c>
      <c r="E138" s="8" t="s">
        <v>98</v>
      </c>
      <c r="F138" s="8" t="s">
        <v>99</v>
      </c>
      <c r="G138" s="8" t="s">
        <v>101</v>
      </c>
      <c r="H138" s="8" t="s">
        <v>132</v>
      </c>
      <c r="I138" s="8" t="s">
        <v>133</v>
      </c>
      <c r="J138" s="8" t="s">
        <v>129</v>
      </c>
      <c r="K138" s="8">
        <v>502.35</v>
      </c>
      <c r="L138" s="8" t="s">
        <v>231</v>
      </c>
      <c r="M138" s="8"/>
      <c r="N138" s="8" t="s">
        <v>17</v>
      </c>
    </row>
    <row r="139" spans="1:14" x14ac:dyDescent="0.2">
      <c r="A139" s="8">
        <v>138</v>
      </c>
      <c r="B139" s="8" t="s">
        <v>495</v>
      </c>
      <c r="C139" s="8" t="s">
        <v>22</v>
      </c>
      <c r="D139" s="8" t="s">
        <v>496</v>
      </c>
      <c r="E139" s="8" t="s">
        <v>74</v>
      </c>
      <c r="F139" s="8" t="s">
        <v>75</v>
      </c>
      <c r="G139" s="8" t="s">
        <v>77</v>
      </c>
      <c r="H139" s="8" t="s">
        <v>130</v>
      </c>
      <c r="I139" s="8" t="s">
        <v>131</v>
      </c>
      <c r="J139" s="8" t="s">
        <v>129</v>
      </c>
      <c r="K139" s="8">
        <v>3220.75</v>
      </c>
      <c r="L139" s="8" t="s">
        <v>236</v>
      </c>
      <c r="M139" s="8" t="s">
        <v>414</v>
      </c>
      <c r="N139" s="8" t="s">
        <v>19</v>
      </c>
    </row>
    <row r="140" spans="1:14" x14ac:dyDescent="0.2">
      <c r="A140" s="8">
        <v>139</v>
      </c>
      <c r="B140" s="8" t="s">
        <v>497</v>
      </c>
      <c r="C140" s="8" t="s">
        <v>18</v>
      </c>
      <c r="D140" s="8" t="s">
        <v>498</v>
      </c>
      <c r="E140" s="8" t="s">
        <v>86</v>
      </c>
      <c r="F140" s="8" t="s">
        <v>87</v>
      </c>
      <c r="G140" s="8" t="s">
        <v>89</v>
      </c>
      <c r="H140" s="8" t="s">
        <v>167</v>
      </c>
      <c r="I140" s="8" t="s">
        <v>168</v>
      </c>
      <c r="J140" s="8" t="s">
        <v>89</v>
      </c>
      <c r="K140" s="8">
        <v>2973.63</v>
      </c>
      <c r="L140" s="8" t="s">
        <v>231</v>
      </c>
      <c r="M140" s="8"/>
      <c r="N140" s="8" t="s">
        <v>15</v>
      </c>
    </row>
    <row r="141" spans="1:14" x14ac:dyDescent="0.2">
      <c r="A141" s="8">
        <v>140</v>
      </c>
      <c r="B141" s="8" t="s">
        <v>499</v>
      </c>
      <c r="C141" s="8" t="s">
        <v>22</v>
      </c>
      <c r="D141" s="8" t="s">
        <v>411</v>
      </c>
      <c r="E141" s="8" t="s">
        <v>29</v>
      </c>
      <c r="F141" s="8" t="s">
        <v>30</v>
      </c>
      <c r="G141" s="8" t="s">
        <v>32</v>
      </c>
      <c r="H141" s="8" t="s">
        <v>113</v>
      </c>
      <c r="I141" s="8" t="s">
        <v>114</v>
      </c>
      <c r="J141" s="8" t="s">
        <v>110</v>
      </c>
      <c r="K141" s="8">
        <v>660.23</v>
      </c>
      <c r="L141" s="8" t="s">
        <v>231</v>
      </c>
      <c r="M141" s="8"/>
      <c r="N141" s="8" t="s">
        <v>15</v>
      </c>
    </row>
    <row r="142" spans="1:14" x14ac:dyDescent="0.2">
      <c r="A142" s="8">
        <v>141</v>
      </c>
      <c r="B142" s="8" t="s">
        <v>500</v>
      </c>
      <c r="C142" s="8" t="s">
        <v>18</v>
      </c>
      <c r="D142" s="8" t="s">
        <v>484</v>
      </c>
      <c r="E142" s="8" t="s">
        <v>98</v>
      </c>
      <c r="F142" s="8" t="s">
        <v>99</v>
      </c>
      <c r="G142" s="8" t="s">
        <v>101</v>
      </c>
      <c r="H142" s="8" t="s">
        <v>158</v>
      </c>
      <c r="I142" s="8" t="s">
        <v>159</v>
      </c>
      <c r="J142" s="8" t="s">
        <v>160</v>
      </c>
      <c r="K142" s="8">
        <v>724.31</v>
      </c>
      <c r="L142" s="8" t="s">
        <v>236</v>
      </c>
      <c r="M142" s="8" t="s">
        <v>237</v>
      </c>
      <c r="N142" s="8" t="s">
        <v>19</v>
      </c>
    </row>
    <row r="143" spans="1:14" x14ac:dyDescent="0.2">
      <c r="A143" s="8">
        <v>142</v>
      </c>
      <c r="B143" s="8" t="s">
        <v>501</v>
      </c>
      <c r="C143" s="8" t="s">
        <v>23</v>
      </c>
      <c r="D143" s="8" t="s">
        <v>260</v>
      </c>
      <c r="E143" s="8" t="s">
        <v>86</v>
      </c>
      <c r="F143" s="8" t="s">
        <v>87</v>
      </c>
      <c r="G143" s="8" t="s">
        <v>89</v>
      </c>
      <c r="H143" s="8" t="s">
        <v>167</v>
      </c>
      <c r="I143" s="8" t="s">
        <v>168</v>
      </c>
      <c r="J143" s="8" t="s">
        <v>89</v>
      </c>
      <c r="K143" s="8">
        <v>2623.58</v>
      </c>
      <c r="L143" s="8" t="s">
        <v>231</v>
      </c>
      <c r="M143" s="8"/>
      <c r="N143" s="8" t="s">
        <v>15</v>
      </c>
    </row>
    <row r="144" spans="1:14" x14ac:dyDescent="0.2">
      <c r="A144" s="8">
        <v>143</v>
      </c>
      <c r="B144" s="8" t="s">
        <v>502</v>
      </c>
      <c r="C144" s="8" t="s">
        <v>18</v>
      </c>
      <c r="D144" s="8" t="s">
        <v>503</v>
      </c>
      <c r="E144" s="8" t="s">
        <v>96</v>
      </c>
      <c r="F144" s="8" t="s">
        <v>97</v>
      </c>
      <c r="G144" s="8" t="s">
        <v>95</v>
      </c>
      <c r="H144" s="8" t="s">
        <v>165</v>
      </c>
      <c r="I144" s="8" t="s">
        <v>166</v>
      </c>
      <c r="J144" s="8" t="s">
        <v>95</v>
      </c>
      <c r="K144" s="8">
        <v>964.22</v>
      </c>
      <c r="L144" s="8" t="s">
        <v>231</v>
      </c>
      <c r="M144" s="8"/>
      <c r="N144" s="8" t="s">
        <v>15</v>
      </c>
    </row>
    <row r="145" spans="1:14" x14ac:dyDescent="0.2">
      <c r="A145" s="8">
        <v>144</v>
      </c>
      <c r="B145" s="8" t="s">
        <v>504</v>
      </c>
      <c r="C145" s="8" t="s">
        <v>24</v>
      </c>
      <c r="D145" s="8" t="s">
        <v>505</v>
      </c>
      <c r="E145" s="8" t="s">
        <v>39</v>
      </c>
      <c r="F145" s="8" t="s">
        <v>40</v>
      </c>
      <c r="G145" s="8" t="s">
        <v>38</v>
      </c>
      <c r="H145" s="8" t="s">
        <v>137</v>
      </c>
      <c r="I145" s="8" t="s">
        <v>138</v>
      </c>
      <c r="J145" s="8" t="s">
        <v>136</v>
      </c>
      <c r="K145" s="8">
        <v>1347.23</v>
      </c>
      <c r="L145" s="8" t="s">
        <v>231</v>
      </c>
      <c r="M145" s="8"/>
      <c r="N145" s="8" t="s">
        <v>15</v>
      </c>
    </row>
    <row r="146" spans="1:14" x14ac:dyDescent="0.2">
      <c r="A146" s="8">
        <v>145</v>
      </c>
      <c r="B146" s="8" t="s">
        <v>506</v>
      </c>
      <c r="C146" s="8" t="s">
        <v>23</v>
      </c>
      <c r="D146" s="8" t="s">
        <v>507</v>
      </c>
      <c r="E146" s="8" t="s">
        <v>29</v>
      </c>
      <c r="F146" s="8" t="s">
        <v>30</v>
      </c>
      <c r="G146" s="8" t="s">
        <v>32</v>
      </c>
      <c r="H146" s="8" t="s">
        <v>111</v>
      </c>
      <c r="I146" s="8" t="s">
        <v>112</v>
      </c>
      <c r="J146" s="8" t="s">
        <v>110</v>
      </c>
      <c r="K146" s="8">
        <v>641.09</v>
      </c>
      <c r="L146" s="8" t="s">
        <v>231</v>
      </c>
      <c r="M146" s="8"/>
      <c r="N146" s="8" t="s">
        <v>15</v>
      </c>
    </row>
    <row r="147" spans="1:14" x14ac:dyDescent="0.2">
      <c r="A147" s="8">
        <v>146</v>
      </c>
      <c r="B147" s="8" t="s">
        <v>508</v>
      </c>
      <c r="C147" s="8" t="s">
        <v>20</v>
      </c>
      <c r="D147" s="8" t="s">
        <v>509</v>
      </c>
      <c r="E147" s="8" t="s">
        <v>33</v>
      </c>
      <c r="F147" s="8" t="s">
        <v>34</v>
      </c>
      <c r="G147" s="8" t="s">
        <v>32</v>
      </c>
      <c r="H147" s="8" t="s">
        <v>185</v>
      </c>
      <c r="I147" s="8" t="s">
        <v>186</v>
      </c>
      <c r="J147" s="8" t="s">
        <v>184</v>
      </c>
      <c r="K147" s="8">
        <v>1643.36</v>
      </c>
      <c r="L147" s="8" t="s">
        <v>231</v>
      </c>
      <c r="M147" s="8"/>
      <c r="N147" s="8" t="s">
        <v>15</v>
      </c>
    </row>
    <row r="148" spans="1:14" x14ac:dyDescent="0.2">
      <c r="A148" s="8">
        <v>147</v>
      </c>
      <c r="B148" s="8" t="s">
        <v>510</v>
      </c>
      <c r="C148" s="8" t="s">
        <v>21</v>
      </c>
      <c r="D148" s="8" t="s">
        <v>511</v>
      </c>
      <c r="E148" s="8" t="s">
        <v>96</v>
      </c>
      <c r="F148" s="8" t="s">
        <v>97</v>
      </c>
      <c r="G148" s="8" t="s">
        <v>95</v>
      </c>
      <c r="H148" s="8" t="s">
        <v>165</v>
      </c>
      <c r="I148" s="8" t="s">
        <v>166</v>
      </c>
      <c r="J148" s="8" t="s">
        <v>95</v>
      </c>
      <c r="K148" s="8">
        <v>152.31</v>
      </c>
      <c r="L148" s="8" t="s">
        <v>236</v>
      </c>
      <c r="M148" s="8" t="s">
        <v>237</v>
      </c>
      <c r="N148" s="8" t="s">
        <v>15</v>
      </c>
    </row>
    <row r="149" spans="1:14" x14ac:dyDescent="0.2">
      <c r="A149" s="8">
        <v>148</v>
      </c>
      <c r="B149" s="8" t="s">
        <v>512</v>
      </c>
      <c r="C149" s="8" t="s">
        <v>22</v>
      </c>
      <c r="D149" s="8" t="s">
        <v>243</v>
      </c>
      <c r="E149" s="8" t="s">
        <v>90</v>
      </c>
      <c r="F149" s="8" t="s">
        <v>91</v>
      </c>
      <c r="G149" s="8" t="s">
        <v>89</v>
      </c>
      <c r="H149" s="8" t="s">
        <v>169</v>
      </c>
      <c r="I149" s="8" t="s">
        <v>170</v>
      </c>
      <c r="J149" s="8" t="s">
        <v>89</v>
      </c>
      <c r="K149" s="8">
        <v>1745.76</v>
      </c>
      <c r="L149" s="8" t="s">
        <v>248</v>
      </c>
      <c r="M149" s="8"/>
      <c r="N149" s="8" t="s">
        <v>15</v>
      </c>
    </row>
    <row r="150" spans="1:14" x14ac:dyDescent="0.2">
      <c r="A150" s="8">
        <v>149</v>
      </c>
      <c r="B150" s="8" t="s">
        <v>513</v>
      </c>
      <c r="C150" s="8" t="s">
        <v>23</v>
      </c>
      <c r="D150" s="8" t="s">
        <v>514</v>
      </c>
      <c r="E150" s="8" t="s">
        <v>90</v>
      </c>
      <c r="F150" s="8" t="s">
        <v>91</v>
      </c>
      <c r="G150" s="8" t="s">
        <v>89</v>
      </c>
      <c r="H150" s="8" t="s">
        <v>163</v>
      </c>
      <c r="I150" s="8" t="s">
        <v>164</v>
      </c>
      <c r="J150" s="8" t="s">
        <v>95</v>
      </c>
      <c r="K150" s="8">
        <v>511.69</v>
      </c>
      <c r="L150" s="8" t="s">
        <v>236</v>
      </c>
      <c r="M150" s="8" t="s">
        <v>414</v>
      </c>
      <c r="N150" s="8" t="s">
        <v>19</v>
      </c>
    </row>
    <row r="151" spans="1:14" x14ac:dyDescent="0.2">
      <c r="A151" s="8">
        <v>150</v>
      </c>
      <c r="B151" s="8" t="s">
        <v>515</v>
      </c>
      <c r="C151" s="8" t="s">
        <v>23</v>
      </c>
      <c r="D151" s="8" t="s">
        <v>516</v>
      </c>
      <c r="E151" s="8" t="s">
        <v>72</v>
      </c>
      <c r="F151" s="8" t="s">
        <v>73</v>
      </c>
      <c r="G151" s="8" t="s">
        <v>71</v>
      </c>
      <c r="H151" s="8" t="s">
        <v>171</v>
      </c>
      <c r="I151" s="8" t="s">
        <v>173</v>
      </c>
      <c r="J151" s="8" t="s">
        <v>174</v>
      </c>
      <c r="K151" s="8">
        <v>768.55</v>
      </c>
      <c r="L151" s="8" t="s">
        <v>231</v>
      </c>
      <c r="M151" s="8"/>
      <c r="N151" s="8" t="s">
        <v>17</v>
      </c>
    </row>
    <row r="152" spans="1:14" x14ac:dyDescent="0.2">
      <c r="A152" s="8">
        <v>151</v>
      </c>
      <c r="B152" s="8" t="s">
        <v>517</v>
      </c>
      <c r="C152" s="8" t="s">
        <v>20</v>
      </c>
      <c r="D152" s="8" t="s">
        <v>518</v>
      </c>
      <c r="E152" s="8" t="s">
        <v>80</v>
      </c>
      <c r="F152" s="8" t="s">
        <v>81</v>
      </c>
      <c r="G152" s="8" t="s">
        <v>83</v>
      </c>
      <c r="H152" s="8" t="s">
        <v>175</v>
      </c>
      <c r="I152" s="8" t="s">
        <v>176</v>
      </c>
      <c r="J152" s="8" t="s">
        <v>174</v>
      </c>
      <c r="K152" s="8">
        <v>499.07</v>
      </c>
      <c r="L152" s="8" t="s">
        <v>236</v>
      </c>
      <c r="M152" s="8" t="s">
        <v>327</v>
      </c>
      <c r="N152" s="8" t="s">
        <v>19</v>
      </c>
    </row>
    <row r="153" spans="1:14" x14ac:dyDescent="0.2">
      <c r="A153" s="8">
        <v>152</v>
      </c>
      <c r="B153" s="8" t="s">
        <v>519</v>
      </c>
      <c r="C153" s="8" t="s">
        <v>23</v>
      </c>
      <c r="D153" s="8" t="s">
        <v>520</v>
      </c>
      <c r="E153" s="8" t="s">
        <v>92</v>
      </c>
      <c r="F153" s="8" t="s">
        <v>93</v>
      </c>
      <c r="G153" s="8" t="s">
        <v>95</v>
      </c>
      <c r="H153" s="8" t="s">
        <v>165</v>
      </c>
      <c r="I153" s="8" t="s">
        <v>166</v>
      </c>
      <c r="J153" s="8" t="s">
        <v>95</v>
      </c>
      <c r="K153" s="8">
        <v>2400.41</v>
      </c>
      <c r="L153" s="8" t="s">
        <v>231</v>
      </c>
      <c r="M153" s="8"/>
      <c r="N153" s="8" t="s">
        <v>15</v>
      </c>
    </row>
    <row r="154" spans="1:14" x14ac:dyDescent="0.2">
      <c r="A154" s="8">
        <v>153</v>
      </c>
      <c r="B154" s="8" t="s">
        <v>521</v>
      </c>
      <c r="C154" s="8" t="s">
        <v>22</v>
      </c>
      <c r="D154" s="8" t="s">
        <v>522</v>
      </c>
      <c r="E154" s="8" t="s">
        <v>90</v>
      </c>
      <c r="F154" s="8" t="s">
        <v>91</v>
      </c>
      <c r="G154" s="8" t="s">
        <v>89</v>
      </c>
      <c r="H154" s="8" t="s">
        <v>167</v>
      </c>
      <c r="I154" s="8" t="s">
        <v>168</v>
      </c>
      <c r="J154" s="8" t="s">
        <v>89</v>
      </c>
      <c r="K154" s="8">
        <v>2009.3</v>
      </c>
      <c r="L154" s="8" t="s">
        <v>231</v>
      </c>
      <c r="M154" s="8"/>
      <c r="N154" s="8" t="s">
        <v>15</v>
      </c>
    </row>
    <row r="155" spans="1:14" x14ac:dyDescent="0.2">
      <c r="A155" s="8">
        <v>154</v>
      </c>
      <c r="B155" s="8" t="s">
        <v>523</v>
      </c>
      <c r="C155" s="8" t="s">
        <v>21</v>
      </c>
      <c r="D155" s="8" t="s">
        <v>524</v>
      </c>
      <c r="E155" s="8" t="s">
        <v>86</v>
      </c>
      <c r="F155" s="8" t="s">
        <v>87</v>
      </c>
      <c r="G155" s="8" t="s">
        <v>89</v>
      </c>
      <c r="H155" s="8" t="s">
        <v>167</v>
      </c>
      <c r="I155" s="8" t="s">
        <v>168</v>
      </c>
      <c r="J155" s="8" t="s">
        <v>89</v>
      </c>
      <c r="K155" s="8">
        <v>1939.14</v>
      </c>
      <c r="L155" s="8" t="s">
        <v>231</v>
      </c>
      <c r="M155" s="8"/>
      <c r="N155" s="8" t="s">
        <v>15</v>
      </c>
    </row>
    <row r="156" spans="1:14" x14ac:dyDescent="0.2">
      <c r="A156" s="8">
        <v>155</v>
      </c>
      <c r="B156" s="8" t="s">
        <v>525</v>
      </c>
      <c r="C156" s="8" t="s">
        <v>16</v>
      </c>
      <c r="D156" s="8" t="s">
        <v>526</v>
      </c>
      <c r="E156" s="8" t="s">
        <v>35</v>
      </c>
      <c r="F156" s="8" t="s">
        <v>36</v>
      </c>
      <c r="G156" s="8" t="s">
        <v>38</v>
      </c>
      <c r="H156" s="8" t="s">
        <v>137</v>
      </c>
      <c r="I156" s="8" t="s">
        <v>138</v>
      </c>
      <c r="J156" s="8" t="s">
        <v>136</v>
      </c>
      <c r="K156" s="8">
        <v>2361.56</v>
      </c>
      <c r="L156" s="8" t="s">
        <v>231</v>
      </c>
      <c r="M156" s="8"/>
      <c r="N156" s="8" t="s">
        <v>15</v>
      </c>
    </row>
    <row r="157" spans="1:14" x14ac:dyDescent="0.2">
      <c r="A157" s="8">
        <v>156</v>
      </c>
      <c r="B157" s="8" t="s">
        <v>527</v>
      </c>
      <c r="C157" s="8" t="s">
        <v>20</v>
      </c>
      <c r="D157" s="8" t="s">
        <v>528</v>
      </c>
      <c r="E157" s="8" t="s">
        <v>74</v>
      </c>
      <c r="F157" s="8" t="s">
        <v>75</v>
      </c>
      <c r="G157" s="8" t="s">
        <v>77</v>
      </c>
      <c r="H157" s="8" t="s">
        <v>156</v>
      </c>
      <c r="I157" s="8" t="s">
        <v>157</v>
      </c>
      <c r="J157" s="8" t="s">
        <v>77</v>
      </c>
      <c r="K157" s="8">
        <v>4025.6</v>
      </c>
      <c r="L157" s="8" t="s">
        <v>231</v>
      </c>
      <c r="M157" s="8"/>
      <c r="N157" s="8" t="s">
        <v>15</v>
      </c>
    </row>
    <row r="158" spans="1:14" x14ac:dyDescent="0.2">
      <c r="A158" s="8">
        <v>157</v>
      </c>
      <c r="B158" s="8" t="s">
        <v>529</v>
      </c>
      <c r="C158" s="8" t="s">
        <v>24</v>
      </c>
      <c r="D158" s="8" t="s">
        <v>530</v>
      </c>
      <c r="E158" s="8" t="s">
        <v>62</v>
      </c>
      <c r="F158" s="8" t="s">
        <v>63</v>
      </c>
      <c r="G158" s="8" t="s">
        <v>65</v>
      </c>
      <c r="H158" s="8" t="s">
        <v>127</v>
      </c>
      <c r="I158" s="8" t="s">
        <v>128</v>
      </c>
      <c r="J158" s="8" t="s">
        <v>129</v>
      </c>
      <c r="K158" s="8">
        <v>1880.75</v>
      </c>
      <c r="L158" s="8" t="s">
        <v>231</v>
      </c>
      <c r="M158" s="8"/>
      <c r="N158" s="8" t="s">
        <v>17</v>
      </c>
    </row>
    <row r="159" spans="1:14" x14ac:dyDescent="0.2">
      <c r="A159" s="8">
        <v>158</v>
      </c>
      <c r="B159" s="8" t="s">
        <v>531</v>
      </c>
      <c r="C159" s="8" t="s">
        <v>21</v>
      </c>
      <c r="D159" s="8" t="s">
        <v>532</v>
      </c>
      <c r="E159" s="8" t="s">
        <v>45</v>
      </c>
      <c r="F159" s="8" t="s">
        <v>46</v>
      </c>
      <c r="G159" s="8" t="s">
        <v>44</v>
      </c>
      <c r="H159" s="8" t="s">
        <v>130</v>
      </c>
      <c r="I159" s="8" t="s">
        <v>131</v>
      </c>
      <c r="J159" s="8" t="s">
        <v>129</v>
      </c>
      <c r="K159" s="8">
        <v>3269.67</v>
      </c>
      <c r="L159" s="8" t="s">
        <v>231</v>
      </c>
      <c r="M159" s="8"/>
      <c r="N159" s="8" t="s">
        <v>15</v>
      </c>
    </row>
    <row r="160" spans="1:14" x14ac:dyDescent="0.2">
      <c r="A160" s="8">
        <v>159</v>
      </c>
      <c r="B160" s="8" t="s">
        <v>533</v>
      </c>
      <c r="C160" s="8" t="s">
        <v>16</v>
      </c>
      <c r="D160" s="8" t="s">
        <v>534</v>
      </c>
      <c r="E160" s="8" t="s">
        <v>96</v>
      </c>
      <c r="F160" s="8" t="s">
        <v>97</v>
      </c>
      <c r="G160" s="8" t="s">
        <v>95</v>
      </c>
      <c r="H160" s="8" t="s">
        <v>123</v>
      </c>
      <c r="I160" s="8" t="s">
        <v>124</v>
      </c>
      <c r="J160" s="8" t="s">
        <v>122</v>
      </c>
      <c r="K160" s="8">
        <v>2873.31</v>
      </c>
      <c r="L160" s="8" t="s">
        <v>236</v>
      </c>
      <c r="M160" s="8" t="s">
        <v>327</v>
      </c>
      <c r="N160" s="8" t="s">
        <v>19</v>
      </c>
    </row>
    <row r="161" spans="1:14" x14ac:dyDescent="0.2">
      <c r="A161" s="8">
        <v>160</v>
      </c>
      <c r="B161" s="8" t="s">
        <v>535</v>
      </c>
      <c r="C161" s="8" t="s">
        <v>20</v>
      </c>
      <c r="D161" s="8" t="s">
        <v>536</v>
      </c>
      <c r="E161" s="8" t="s">
        <v>86</v>
      </c>
      <c r="F161" s="8" t="s">
        <v>87</v>
      </c>
      <c r="G161" s="8" t="s">
        <v>89</v>
      </c>
      <c r="H161" s="8" t="s">
        <v>169</v>
      </c>
      <c r="I161" s="8" t="s">
        <v>170</v>
      </c>
      <c r="J161" s="8" t="s">
        <v>89</v>
      </c>
      <c r="K161" s="8">
        <v>2529.5500000000002</v>
      </c>
      <c r="L161" s="8" t="s">
        <v>248</v>
      </c>
      <c r="M161" s="8"/>
      <c r="N161" s="8" t="s">
        <v>15</v>
      </c>
    </row>
    <row r="162" spans="1:14" x14ac:dyDescent="0.2">
      <c r="A162" s="8">
        <v>161</v>
      </c>
      <c r="B162" s="8" t="s">
        <v>537</v>
      </c>
      <c r="C162" s="8" t="s">
        <v>22</v>
      </c>
      <c r="D162" s="8" t="s">
        <v>505</v>
      </c>
      <c r="E162" s="8" t="s">
        <v>72</v>
      </c>
      <c r="F162" s="8" t="s">
        <v>73</v>
      </c>
      <c r="G162" s="8" t="s">
        <v>71</v>
      </c>
      <c r="H162" s="8" t="s">
        <v>125</v>
      </c>
      <c r="I162" s="8" t="s">
        <v>126</v>
      </c>
      <c r="J162" s="8" t="s">
        <v>122</v>
      </c>
      <c r="K162" s="8">
        <v>2739.85</v>
      </c>
      <c r="L162" s="8" t="s">
        <v>231</v>
      </c>
      <c r="M162" s="8"/>
      <c r="N162" s="8" t="s">
        <v>15</v>
      </c>
    </row>
    <row r="163" spans="1:14" x14ac:dyDescent="0.2">
      <c r="A163" s="8">
        <v>162</v>
      </c>
      <c r="B163" s="8" t="s">
        <v>538</v>
      </c>
      <c r="C163" s="8" t="s">
        <v>23</v>
      </c>
      <c r="D163" s="8" t="s">
        <v>539</v>
      </c>
      <c r="E163" s="8" t="s">
        <v>66</v>
      </c>
      <c r="F163" s="8" t="s">
        <v>67</v>
      </c>
      <c r="G163" s="8" t="s">
        <v>65</v>
      </c>
      <c r="H163" s="8" t="s">
        <v>127</v>
      </c>
      <c r="I163" s="8" t="s">
        <v>128</v>
      </c>
      <c r="J163" s="8" t="s">
        <v>129</v>
      </c>
      <c r="K163" s="8">
        <v>2080.87</v>
      </c>
      <c r="L163" s="8" t="s">
        <v>231</v>
      </c>
      <c r="M163" s="8"/>
      <c r="N163" s="8" t="s">
        <v>17</v>
      </c>
    </row>
    <row r="164" spans="1:14" x14ac:dyDescent="0.2">
      <c r="A164" s="8">
        <v>163</v>
      </c>
      <c r="B164" s="8" t="s">
        <v>540</v>
      </c>
      <c r="C164" s="8" t="s">
        <v>23</v>
      </c>
      <c r="D164" s="8" t="s">
        <v>262</v>
      </c>
      <c r="E164" s="8" t="s">
        <v>39</v>
      </c>
      <c r="F164" s="8" t="s">
        <v>40</v>
      </c>
      <c r="G164" s="8" t="s">
        <v>38</v>
      </c>
      <c r="H164" s="8" t="s">
        <v>187</v>
      </c>
      <c r="I164" s="8" t="s">
        <v>188</v>
      </c>
      <c r="J164" s="8" t="s">
        <v>189</v>
      </c>
      <c r="K164" s="8">
        <v>2301.5500000000002</v>
      </c>
      <c r="L164" s="8" t="s">
        <v>236</v>
      </c>
      <c r="M164" s="8" t="s">
        <v>348</v>
      </c>
      <c r="N164" s="8" t="s">
        <v>19</v>
      </c>
    </row>
    <row r="165" spans="1:14" x14ac:dyDescent="0.2">
      <c r="A165" s="8">
        <v>164</v>
      </c>
      <c r="B165" s="8" t="s">
        <v>541</v>
      </c>
      <c r="C165" s="8" t="s">
        <v>20</v>
      </c>
      <c r="D165" s="8" t="s">
        <v>542</v>
      </c>
      <c r="E165" s="8" t="s">
        <v>86</v>
      </c>
      <c r="F165" s="8" t="s">
        <v>87</v>
      </c>
      <c r="G165" s="8" t="s">
        <v>89</v>
      </c>
      <c r="H165" s="8" t="s">
        <v>167</v>
      </c>
      <c r="I165" s="8" t="s">
        <v>168</v>
      </c>
      <c r="J165" s="8" t="s">
        <v>89</v>
      </c>
      <c r="K165" s="8">
        <v>3504.3</v>
      </c>
      <c r="L165" s="8" t="s">
        <v>231</v>
      </c>
      <c r="M165" s="8"/>
      <c r="N165" s="8" t="s">
        <v>15</v>
      </c>
    </row>
    <row r="166" spans="1:14" x14ac:dyDescent="0.2">
      <c r="A166" s="8">
        <v>165</v>
      </c>
      <c r="B166" s="8" t="s">
        <v>543</v>
      </c>
      <c r="C166" s="8" t="s">
        <v>24</v>
      </c>
      <c r="D166" s="8" t="s">
        <v>544</v>
      </c>
      <c r="E166" s="8" t="s">
        <v>45</v>
      </c>
      <c r="F166" s="8" t="s">
        <v>46</v>
      </c>
      <c r="G166" s="8" t="s">
        <v>44</v>
      </c>
      <c r="H166" s="8" t="s">
        <v>111</v>
      </c>
      <c r="I166" s="8" t="s">
        <v>112</v>
      </c>
      <c r="J166" s="8" t="s">
        <v>110</v>
      </c>
      <c r="K166" s="8">
        <v>3043.29</v>
      </c>
      <c r="L166" s="8" t="s">
        <v>248</v>
      </c>
      <c r="M166" s="8"/>
      <c r="N166" s="8" t="s">
        <v>15</v>
      </c>
    </row>
    <row r="167" spans="1:14" x14ac:dyDescent="0.2">
      <c r="A167" s="8">
        <v>166</v>
      </c>
      <c r="B167" s="8" t="s">
        <v>545</v>
      </c>
      <c r="C167" s="8" t="s">
        <v>23</v>
      </c>
      <c r="D167" s="8" t="s">
        <v>452</v>
      </c>
      <c r="E167" s="8" t="s">
        <v>102</v>
      </c>
      <c r="F167" s="8" t="s">
        <v>103</v>
      </c>
      <c r="G167" s="8" t="s">
        <v>101</v>
      </c>
      <c r="H167" s="8" t="s">
        <v>115</v>
      </c>
      <c r="I167" s="8" t="s">
        <v>116</v>
      </c>
      <c r="J167" s="8" t="s">
        <v>117</v>
      </c>
      <c r="K167" s="8">
        <v>3310.53</v>
      </c>
      <c r="L167" s="8" t="s">
        <v>248</v>
      </c>
      <c r="M167" s="8"/>
      <c r="N167" s="8" t="s">
        <v>17</v>
      </c>
    </row>
    <row r="168" spans="1:14" x14ac:dyDescent="0.2">
      <c r="A168" s="8">
        <v>167</v>
      </c>
      <c r="B168" s="8" t="s">
        <v>546</v>
      </c>
      <c r="C168" s="8" t="s">
        <v>16</v>
      </c>
      <c r="D168" s="8" t="s">
        <v>547</v>
      </c>
      <c r="E168" s="8" t="s">
        <v>96</v>
      </c>
      <c r="F168" s="8" t="s">
        <v>97</v>
      </c>
      <c r="G168" s="8" t="s">
        <v>95</v>
      </c>
      <c r="H168" s="8" t="s">
        <v>185</v>
      </c>
      <c r="I168" s="8" t="s">
        <v>186</v>
      </c>
      <c r="J168" s="8" t="s">
        <v>184</v>
      </c>
      <c r="K168" s="8">
        <v>2250.77</v>
      </c>
      <c r="L168" s="8" t="s">
        <v>248</v>
      </c>
      <c r="M168" s="8"/>
      <c r="N168" s="8" t="s">
        <v>19</v>
      </c>
    </row>
    <row r="169" spans="1:14" x14ac:dyDescent="0.2">
      <c r="A169" s="8">
        <v>168</v>
      </c>
      <c r="B169" s="8" t="s">
        <v>548</v>
      </c>
      <c r="C169" s="8" t="s">
        <v>23</v>
      </c>
      <c r="D169" s="8" t="s">
        <v>549</v>
      </c>
      <c r="E169" s="8" t="s">
        <v>86</v>
      </c>
      <c r="F169" s="8" t="s">
        <v>87</v>
      </c>
      <c r="G169" s="8" t="s">
        <v>89</v>
      </c>
      <c r="H169" s="8" t="s">
        <v>167</v>
      </c>
      <c r="I169" s="8" t="s">
        <v>168</v>
      </c>
      <c r="J169" s="8" t="s">
        <v>89</v>
      </c>
      <c r="K169" s="8">
        <v>1606.25</v>
      </c>
      <c r="L169" s="8" t="s">
        <v>248</v>
      </c>
      <c r="M169" s="8"/>
      <c r="N169" s="8" t="s">
        <v>15</v>
      </c>
    </row>
    <row r="170" spans="1:14" x14ac:dyDescent="0.2">
      <c r="A170" s="8">
        <v>169</v>
      </c>
      <c r="B170" s="8" t="s">
        <v>550</v>
      </c>
      <c r="C170" s="8" t="s">
        <v>18</v>
      </c>
      <c r="D170" s="8" t="s">
        <v>551</v>
      </c>
      <c r="E170" s="8" t="s">
        <v>80</v>
      </c>
      <c r="F170" s="8" t="s">
        <v>81</v>
      </c>
      <c r="G170" s="8" t="s">
        <v>83</v>
      </c>
      <c r="H170" s="8" t="s">
        <v>161</v>
      </c>
      <c r="I170" s="8" t="s">
        <v>162</v>
      </c>
      <c r="J170" s="8" t="s">
        <v>83</v>
      </c>
      <c r="K170" s="8">
        <v>1928.44</v>
      </c>
      <c r="L170" s="8" t="s">
        <v>231</v>
      </c>
      <c r="M170" s="8"/>
      <c r="N170" s="8" t="s">
        <v>15</v>
      </c>
    </row>
    <row r="171" spans="1:14" x14ac:dyDescent="0.2">
      <c r="A171" s="8">
        <v>170</v>
      </c>
      <c r="B171" s="8" t="s">
        <v>552</v>
      </c>
      <c r="C171" s="8" t="s">
        <v>21</v>
      </c>
      <c r="D171" s="8" t="s">
        <v>354</v>
      </c>
      <c r="E171" s="8" t="s">
        <v>35</v>
      </c>
      <c r="F171" s="8" t="s">
        <v>36</v>
      </c>
      <c r="G171" s="8" t="s">
        <v>38</v>
      </c>
      <c r="H171" s="8" t="s">
        <v>130</v>
      </c>
      <c r="I171" s="8" t="s">
        <v>131</v>
      </c>
      <c r="J171" s="8" t="s">
        <v>129</v>
      </c>
      <c r="K171" s="8">
        <v>294.68</v>
      </c>
      <c r="L171" s="8" t="s">
        <v>231</v>
      </c>
      <c r="M171" s="8"/>
      <c r="N171" s="8" t="s">
        <v>17</v>
      </c>
    </row>
    <row r="172" spans="1:14" x14ac:dyDescent="0.2">
      <c r="A172" s="8">
        <v>171</v>
      </c>
      <c r="B172" s="8" t="s">
        <v>553</v>
      </c>
      <c r="C172" s="8" t="s">
        <v>22</v>
      </c>
      <c r="D172" s="8" t="s">
        <v>554</v>
      </c>
      <c r="E172" s="8" t="s">
        <v>39</v>
      </c>
      <c r="F172" s="8" t="s">
        <v>40</v>
      </c>
      <c r="G172" s="8" t="s">
        <v>38</v>
      </c>
      <c r="H172" s="8" t="s">
        <v>107</v>
      </c>
      <c r="I172" s="8" t="s">
        <v>109</v>
      </c>
      <c r="J172" s="8" t="s">
        <v>110</v>
      </c>
      <c r="K172" s="8">
        <v>3536.6</v>
      </c>
      <c r="L172" s="8" t="s">
        <v>231</v>
      </c>
      <c r="M172" s="8"/>
      <c r="N172" s="8" t="s">
        <v>15</v>
      </c>
    </row>
    <row r="173" spans="1:14" x14ac:dyDescent="0.2">
      <c r="A173" s="8">
        <v>172</v>
      </c>
      <c r="B173" s="8" t="s">
        <v>555</v>
      </c>
      <c r="C173" s="8" t="s">
        <v>23</v>
      </c>
      <c r="D173" s="8" t="s">
        <v>230</v>
      </c>
      <c r="E173" s="8" t="s">
        <v>41</v>
      </c>
      <c r="F173" s="8" t="s">
        <v>42</v>
      </c>
      <c r="G173" s="8" t="s">
        <v>44</v>
      </c>
      <c r="H173" s="8" t="s">
        <v>130</v>
      </c>
      <c r="I173" s="8" t="s">
        <v>131</v>
      </c>
      <c r="J173" s="8" t="s">
        <v>129</v>
      </c>
      <c r="K173" s="8">
        <v>2985.34</v>
      </c>
      <c r="L173" s="8" t="s">
        <v>231</v>
      </c>
      <c r="M173" s="8"/>
      <c r="N173" s="8" t="s">
        <v>15</v>
      </c>
    </row>
    <row r="174" spans="1:14" x14ac:dyDescent="0.2">
      <c r="A174" s="8">
        <v>173</v>
      </c>
      <c r="B174" s="8" t="s">
        <v>556</v>
      </c>
      <c r="C174" s="8" t="s">
        <v>16</v>
      </c>
      <c r="D174" s="8" t="s">
        <v>557</v>
      </c>
      <c r="E174" s="8" t="s">
        <v>35</v>
      </c>
      <c r="F174" s="8" t="s">
        <v>36</v>
      </c>
      <c r="G174" s="8" t="s">
        <v>38</v>
      </c>
      <c r="H174" s="8" t="s">
        <v>150</v>
      </c>
      <c r="I174" s="8" t="s">
        <v>151</v>
      </c>
      <c r="J174" s="8" t="s">
        <v>59</v>
      </c>
      <c r="K174" s="8">
        <v>3953.43</v>
      </c>
      <c r="L174" s="8" t="s">
        <v>236</v>
      </c>
      <c r="M174" s="8" t="s">
        <v>414</v>
      </c>
      <c r="N174" s="8" t="s">
        <v>19</v>
      </c>
    </row>
    <row r="175" spans="1:14" x14ac:dyDescent="0.2">
      <c r="A175" s="8">
        <v>174</v>
      </c>
      <c r="B175" s="8" t="s">
        <v>558</v>
      </c>
      <c r="C175" s="8" t="s">
        <v>20</v>
      </c>
      <c r="D175" s="8" t="s">
        <v>559</v>
      </c>
      <c r="E175" s="8" t="s">
        <v>56</v>
      </c>
      <c r="F175" s="8" t="s">
        <v>57</v>
      </c>
      <c r="G175" s="8" t="s">
        <v>59</v>
      </c>
      <c r="H175" s="8" t="s">
        <v>161</v>
      </c>
      <c r="I175" s="8" t="s">
        <v>162</v>
      </c>
      <c r="J175" s="8" t="s">
        <v>83</v>
      </c>
      <c r="K175" s="8">
        <v>1806.78</v>
      </c>
      <c r="L175" s="8" t="s">
        <v>236</v>
      </c>
      <c r="M175" s="8" t="s">
        <v>414</v>
      </c>
      <c r="N175" s="8" t="s">
        <v>19</v>
      </c>
    </row>
    <row r="176" spans="1:14" x14ac:dyDescent="0.2">
      <c r="A176" s="8">
        <v>175</v>
      </c>
      <c r="B176" s="8" t="s">
        <v>560</v>
      </c>
      <c r="C176" s="8" t="s">
        <v>21</v>
      </c>
      <c r="D176" s="8" t="s">
        <v>561</v>
      </c>
      <c r="E176" s="8" t="s">
        <v>74</v>
      </c>
      <c r="F176" s="8" t="s">
        <v>75</v>
      </c>
      <c r="G176" s="8" t="s">
        <v>77</v>
      </c>
      <c r="H176" s="8" t="s">
        <v>158</v>
      </c>
      <c r="I176" s="8" t="s">
        <v>159</v>
      </c>
      <c r="J176" s="8" t="s">
        <v>160</v>
      </c>
      <c r="K176" s="8">
        <v>81.45</v>
      </c>
      <c r="L176" s="8" t="s">
        <v>236</v>
      </c>
      <c r="M176" s="8" t="s">
        <v>414</v>
      </c>
      <c r="N176" s="8" t="s">
        <v>19</v>
      </c>
    </row>
    <row r="177" spans="1:14" x14ac:dyDescent="0.2">
      <c r="A177" s="8">
        <v>176</v>
      </c>
      <c r="B177" s="8" t="s">
        <v>562</v>
      </c>
      <c r="C177" s="8" t="s">
        <v>16</v>
      </c>
      <c r="D177" s="8" t="s">
        <v>289</v>
      </c>
      <c r="E177" s="8" t="s">
        <v>92</v>
      </c>
      <c r="F177" s="8" t="s">
        <v>93</v>
      </c>
      <c r="G177" s="8" t="s">
        <v>95</v>
      </c>
      <c r="H177" s="8" t="s">
        <v>190</v>
      </c>
      <c r="I177" s="8" t="s">
        <v>191</v>
      </c>
      <c r="J177" s="8" t="s">
        <v>192</v>
      </c>
      <c r="K177" s="8">
        <v>2319.34</v>
      </c>
      <c r="L177" s="8" t="s">
        <v>236</v>
      </c>
      <c r="M177" s="8" t="s">
        <v>348</v>
      </c>
      <c r="N177" s="8" t="s">
        <v>19</v>
      </c>
    </row>
    <row r="178" spans="1:14" x14ac:dyDescent="0.2">
      <c r="A178" s="8">
        <v>177</v>
      </c>
      <c r="B178" s="8" t="s">
        <v>563</v>
      </c>
      <c r="C178" s="8" t="s">
        <v>24</v>
      </c>
      <c r="D178" s="8" t="s">
        <v>564</v>
      </c>
      <c r="E178" s="8" t="s">
        <v>74</v>
      </c>
      <c r="F178" s="8" t="s">
        <v>75</v>
      </c>
      <c r="G178" s="8" t="s">
        <v>77</v>
      </c>
      <c r="H178" s="8" t="s">
        <v>156</v>
      </c>
      <c r="I178" s="8" t="s">
        <v>157</v>
      </c>
      <c r="J178" s="8" t="s">
        <v>77</v>
      </c>
      <c r="K178" s="8">
        <v>142</v>
      </c>
      <c r="L178" s="8" t="s">
        <v>231</v>
      </c>
      <c r="M178" s="8"/>
      <c r="N178" s="8" t="s">
        <v>15</v>
      </c>
    </row>
    <row r="179" spans="1:14" x14ac:dyDescent="0.2">
      <c r="A179" s="8">
        <v>178</v>
      </c>
      <c r="B179" s="8" t="s">
        <v>565</v>
      </c>
      <c r="C179" s="8" t="s">
        <v>18</v>
      </c>
      <c r="D179" s="8" t="s">
        <v>566</v>
      </c>
      <c r="E179" s="8" t="s">
        <v>98</v>
      </c>
      <c r="F179" s="8" t="s">
        <v>99</v>
      </c>
      <c r="G179" s="8" t="s">
        <v>101</v>
      </c>
      <c r="H179" s="8" t="s">
        <v>127</v>
      </c>
      <c r="I179" s="8" t="s">
        <v>128</v>
      </c>
      <c r="J179" s="8" t="s">
        <v>129</v>
      </c>
      <c r="K179" s="8">
        <v>2327.31</v>
      </c>
      <c r="L179" s="8" t="s">
        <v>236</v>
      </c>
      <c r="M179" s="8" t="s">
        <v>237</v>
      </c>
      <c r="N179" s="8" t="s">
        <v>17</v>
      </c>
    </row>
    <row r="180" spans="1:14" x14ac:dyDescent="0.2">
      <c r="A180" s="8">
        <v>179</v>
      </c>
      <c r="B180" s="8" t="s">
        <v>567</v>
      </c>
      <c r="C180" s="8" t="s">
        <v>22</v>
      </c>
      <c r="D180" s="8" t="s">
        <v>568</v>
      </c>
      <c r="E180" s="8" t="s">
        <v>96</v>
      </c>
      <c r="F180" s="8" t="s">
        <v>97</v>
      </c>
      <c r="G180" s="8" t="s">
        <v>95</v>
      </c>
      <c r="H180" s="8" t="s">
        <v>187</v>
      </c>
      <c r="I180" s="8" t="s">
        <v>188</v>
      </c>
      <c r="J180" s="8" t="s">
        <v>189</v>
      </c>
      <c r="K180" s="8">
        <v>3028.69</v>
      </c>
      <c r="L180" s="8" t="s">
        <v>248</v>
      </c>
      <c r="M180" s="8"/>
      <c r="N180" s="8" t="s">
        <v>19</v>
      </c>
    </row>
    <row r="181" spans="1:14" x14ac:dyDescent="0.2">
      <c r="A181" s="8">
        <v>180</v>
      </c>
      <c r="B181" s="8" t="s">
        <v>569</v>
      </c>
      <c r="C181" s="8" t="s">
        <v>18</v>
      </c>
      <c r="D181" s="8" t="s">
        <v>570</v>
      </c>
      <c r="E181" s="8" t="s">
        <v>47</v>
      </c>
      <c r="F181" s="8" t="s">
        <v>48</v>
      </c>
      <c r="G181" s="8" t="s">
        <v>50</v>
      </c>
      <c r="H181" s="8" t="s">
        <v>182</v>
      </c>
      <c r="I181" s="8" t="s">
        <v>183</v>
      </c>
      <c r="J181" s="8" t="s">
        <v>184</v>
      </c>
      <c r="K181" s="8">
        <v>3925.16</v>
      </c>
      <c r="L181" s="8" t="s">
        <v>236</v>
      </c>
      <c r="M181" s="8" t="s">
        <v>414</v>
      </c>
      <c r="N181" s="8" t="s">
        <v>19</v>
      </c>
    </row>
    <row r="182" spans="1:14" x14ac:dyDescent="0.2">
      <c r="A182" s="8">
        <v>181</v>
      </c>
      <c r="B182" s="8" t="s">
        <v>571</v>
      </c>
      <c r="C182" s="8" t="s">
        <v>23</v>
      </c>
      <c r="D182" s="8" t="s">
        <v>559</v>
      </c>
      <c r="E182" s="8" t="s">
        <v>92</v>
      </c>
      <c r="F182" s="8" t="s">
        <v>93</v>
      </c>
      <c r="G182" s="8" t="s">
        <v>95</v>
      </c>
      <c r="H182" s="8" t="s">
        <v>165</v>
      </c>
      <c r="I182" s="8" t="s">
        <v>166</v>
      </c>
      <c r="J182" s="8" t="s">
        <v>95</v>
      </c>
      <c r="K182" s="8">
        <v>2779.89</v>
      </c>
      <c r="L182" s="8" t="s">
        <v>231</v>
      </c>
      <c r="M182" s="8"/>
      <c r="N182" s="8" t="s">
        <v>15</v>
      </c>
    </row>
    <row r="183" spans="1:14" x14ac:dyDescent="0.2">
      <c r="A183" s="8">
        <v>182</v>
      </c>
      <c r="B183" s="8" t="s">
        <v>572</v>
      </c>
      <c r="C183" s="8" t="s">
        <v>20</v>
      </c>
      <c r="D183" s="8" t="s">
        <v>573</v>
      </c>
      <c r="E183" s="8" t="s">
        <v>72</v>
      </c>
      <c r="F183" s="8" t="s">
        <v>73</v>
      </c>
      <c r="G183" s="8" t="s">
        <v>71</v>
      </c>
      <c r="H183" s="8" t="s">
        <v>175</v>
      </c>
      <c r="I183" s="8" t="s">
        <v>176</v>
      </c>
      <c r="J183" s="8" t="s">
        <v>174</v>
      </c>
      <c r="K183" s="8">
        <v>2121.84</v>
      </c>
      <c r="L183" s="8" t="s">
        <v>231</v>
      </c>
      <c r="M183" s="8"/>
      <c r="N183" s="8" t="s">
        <v>17</v>
      </c>
    </row>
    <row r="184" spans="1:14" x14ac:dyDescent="0.2">
      <c r="A184" s="8">
        <v>183</v>
      </c>
      <c r="B184" s="8" t="s">
        <v>574</v>
      </c>
      <c r="C184" s="8" t="s">
        <v>21</v>
      </c>
      <c r="D184" s="8" t="s">
        <v>266</v>
      </c>
      <c r="E184" s="8" t="s">
        <v>84</v>
      </c>
      <c r="F184" s="8" t="s">
        <v>85</v>
      </c>
      <c r="G184" s="8" t="s">
        <v>83</v>
      </c>
      <c r="H184" s="8" t="s">
        <v>158</v>
      </c>
      <c r="I184" s="8" t="s">
        <v>159</v>
      </c>
      <c r="J184" s="8" t="s">
        <v>160</v>
      </c>
      <c r="K184" s="8">
        <v>2560.12</v>
      </c>
      <c r="L184" s="8" t="s">
        <v>231</v>
      </c>
      <c r="M184" s="8"/>
      <c r="N184" s="8" t="s">
        <v>15</v>
      </c>
    </row>
    <row r="185" spans="1:14" x14ac:dyDescent="0.2">
      <c r="A185" s="8">
        <v>184</v>
      </c>
      <c r="B185" s="8" t="s">
        <v>575</v>
      </c>
      <c r="C185" s="8" t="s">
        <v>18</v>
      </c>
      <c r="D185" s="8" t="s">
        <v>576</v>
      </c>
      <c r="E185" s="8" t="s">
        <v>62</v>
      </c>
      <c r="F185" s="8" t="s">
        <v>63</v>
      </c>
      <c r="G185" s="8" t="s">
        <v>65</v>
      </c>
      <c r="H185" s="8" t="s">
        <v>130</v>
      </c>
      <c r="I185" s="8" t="s">
        <v>131</v>
      </c>
      <c r="J185" s="8" t="s">
        <v>129</v>
      </c>
      <c r="K185" s="8">
        <v>1914.4</v>
      </c>
      <c r="L185" s="8" t="s">
        <v>236</v>
      </c>
      <c r="M185" s="8" t="s">
        <v>237</v>
      </c>
      <c r="N185" s="8" t="s">
        <v>17</v>
      </c>
    </row>
    <row r="186" spans="1:14" x14ac:dyDescent="0.2">
      <c r="A186" s="8">
        <v>185</v>
      </c>
      <c r="B186" s="8" t="s">
        <v>577</v>
      </c>
      <c r="C186" s="8" t="s">
        <v>16</v>
      </c>
      <c r="D186" s="8" t="s">
        <v>578</v>
      </c>
      <c r="E186" s="8" t="s">
        <v>78</v>
      </c>
      <c r="F186" s="8" t="s">
        <v>79</v>
      </c>
      <c r="G186" s="8" t="s">
        <v>77</v>
      </c>
      <c r="H186" s="8" t="s">
        <v>187</v>
      </c>
      <c r="I186" s="8" t="s">
        <v>188</v>
      </c>
      <c r="J186" s="8" t="s">
        <v>189</v>
      </c>
      <c r="K186" s="8">
        <v>4192.37</v>
      </c>
      <c r="L186" s="8" t="s">
        <v>236</v>
      </c>
      <c r="M186" s="8" t="s">
        <v>348</v>
      </c>
      <c r="N186" s="8" t="s">
        <v>19</v>
      </c>
    </row>
    <row r="187" spans="1:14" x14ac:dyDescent="0.2">
      <c r="A187" s="8">
        <v>186</v>
      </c>
      <c r="B187" s="8" t="s">
        <v>579</v>
      </c>
      <c r="C187" s="8" t="s">
        <v>20</v>
      </c>
      <c r="D187" s="8" t="s">
        <v>580</v>
      </c>
      <c r="E187" s="8" t="s">
        <v>96</v>
      </c>
      <c r="F187" s="8" t="s">
        <v>97</v>
      </c>
      <c r="G187" s="8" t="s">
        <v>95</v>
      </c>
      <c r="H187" s="8" t="s">
        <v>167</v>
      </c>
      <c r="I187" s="8" t="s">
        <v>168</v>
      </c>
      <c r="J187" s="8" t="s">
        <v>89</v>
      </c>
      <c r="K187" s="8">
        <v>3575.76</v>
      </c>
      <c r="L187" s="8" t="s">
        <v>236</v>
      </c>
      <c r="M187" s="8" t="s">
        <v>414</v>
      </c>
      <c r="N187" s="8" t="s">
        <v>19</v>
      </c>
    </row>
    <row r="188" spans="1:14" x14ac:dyDescent="0.2">
      <c r="A188" s="8">
        <v>187</v>
      </c>
      <c r="B188" s="8" t="s">
        <v>581</v>
      </c>
      <c r="C188" s="8" t="s">
        <v>21</v>
      </c>
      <c r="D188" s="8" t="s">
        <v>582</v>
      </c>
      <c r="E188" s="8" t="s">
        <v>35</v>
      </c>
      <c r="F188" s="8" t="s">
        <v>36</v>
      </c>
      <c r="G188" s="8" t="s">
        <v>38</v>
      </c>
      <c r="H188" s="8" t="s">
        <v>185</v>
      </c>
      <c r="I188" s="8" t="s">
        <v>186</v>
      </c>
      <c r="J188" s="8" t="s">
        <v>184</v>
      </c>
      <c r="K188" s="8">
        <v>3991.55</v>
      </c>
      <c r="L188" s="8" t="s">
        <v>231</v>
      </c>
      <c r="M188" s="8"/>
      <c r="N188" s="8" t="s">
        <v>19</v>
      </c>
    </row>
    <row r="189" spans="1:14" x14ac:dyDescent="0.2">
      <c r="A189" s="8">
        <v>188</v>
      </c>
      <c r="B189" s="8" t="s">
        <v>583</v>
      </c>
      <c r="C189" s="8" t="s">
        <v>16</v>
      </c>
      <c r="D189" s="8" t="s">
        <v>584</v>
      </c>
      <c r="E189" s="8" t="s">
        <v>78</v>
      </c>
      <c r="F189" s="8" t="s">
        <v>79</v>
      </c>
      <c r="G189" s="8" t="s">
        <v>77</v>
      </c>
      <c r="H189" s="8" t="s">
        <v>175</v>
      </c>
      <c r="I189" s="8" t="s">
        <v>176</v>
      </c>
      <c r="J189" s="8" t="s">
        <v>174</v>
      </c>
      <c r="K189" s="8">
        <v>642.99</v>
      </c>
      <c r="L189" s="8" t="s">
        <v>236</v>
      </c>
      <c r="M189" s="8" t="s">
        <v>237</v>
      </c>
      <c r="N189" s="8" t="s">
        <v>19</v>
      </c>
    </row>
    <row r="190" spans="1:14" x14ac:dyDescent="0.2">
      <c r="A190" s="8">
        <v>189</v>
      </c>
      <c r="B190" s="8" t="s">
        <v>585</v>
      </c>
      <c r="C190" s="8" t="s">
        <v>21</v>
      </c>
      <c r="D190" s="8" t="s">
        <v>586</v>
      </c>
      <c r="E190" s="8" t="s">
        <v>47</v>
      </c>
      <c r="F190" s="8" t="s">
        <v>48</v>
      </c>
      <c r="G190" s="8" t="s">
        <v>50</v>
      </c>
      <c r="H190" s="8" t="s">
        <v>132</v>
      </c>
      <c r="I190" s="8" t="s">
        <v>133</v>
      </c>
      <c r="J190" s="8" t="s">
        <v>129</v>
      </c>
      <c r="K190" s="8">
        <v>2210.6999999999998</v>
      </c>
      <c r="L190" s="8" t="s">
        <v>236</v>
      </c>
      <c r="M190" s="8" t="s">
        <v>237</v>
      </c>
      <c r="N190" s="8" t="s">
        <v>15</v>
      </c>
    </row>
    <row r="191" spans="1:14" x14ac:dyDescent="0.2">
      <c r="A191" s="8">
        <v>190</v>
      </c>
      <c r="B191" s="8" t="s">
        <v>587</v>
      </c>
      <c r="C191" s="8" t="s">
        <v>20</v>
      </c>
      <c r="D191" s="8" t="s">
        <v>588</v>
      </c>
      <c r="E191" s="8" t="s">
        <v>60</v>
      </c>
      <c r="F191" s="8" t="s">
        <v>61</v>
      </c>
      <c r="G191" s="8" t="s">
        <v>59</v>
      </c>
      <c r="H191" s="8" t="s">
        <v>148</v>
      </c>
      <c r="I191" s="8" t="s">
        <v>149</v>
      </c>
      <c r="J191" s="8" t="s">
        <v>65</v>
      </c>
      <c r="K191" s="8">
        <v>580.88</v>
      </c>
      <c r="L191" s="8" t="s">
        <v>248</v>
      </c>
      <c r="M191" s="8"/>
      <c r="N191" s="8" t="s">
        <v>19</v>
      </c>
    </row>
    <row r="192" spans="1:14" x14ac:dyDescent="0.2">
      <c r="A192" s="8">
        <v>191</v>
      </c>
      <c r="B192" s="8" t="s">
        <v>589</v>
      </c>
      <c r="C192" s="8" t="s">
        <v>24</v>
      </c>
      <c r="D192" s="8" t="s">
        <v>590</v>
      </c>
      <c r="E192" s="8" t="s">
        <v>102</v>
      </c>
      <c r="F192" s="8" t="s">
        <v>103</v>
      </c>
      <c r="G192" s="8" t="s">
        <v>101</v>
      </c>
      <c r="H192" s="8" t="s">
        <v>118</v>
      </c>
      <c r="I192" s="8" t="s">
        <v>119</v>
      </c>
      <c r="J192" s="8" t="s">
        <v>117</v>
      </c>
      <c r="K192" s="8">
        <v>342.87</v>
      </c>
      <c r="L192" s="8" t="s">
        <v>231</v>
      </c>
      <c r="M192" s="8"/>
      <c r="N192" s="8" t="s">
        <v>17</v>
      </c>
    </row>
    <row r="193" spans="1:14" x14ac:dyDescent="0.2">
      <c r="A193" s="8">
        <v>192</v>
      </c>
      <c r="B193" s="8" t="s">
        <v>591</v>
      </c>
      <c r="C193" s="8" t="s">
        <v>22</v>
      </c>
      <c r="D193" s="8" t="s">
        <v>592</v>
      </c>
      <c r="E193" s="8" t="s">
        <v>41</v>
      </c>
      <c r="F193" s="8" t="s">
        <v>42</v>
      </c>
      <c r="G193" s="8" t="s">
        <v>44</v>
      </c>
      <c r="H193" s="8" t="s">
        <v>132</v>
      </c>
      <c r="I193" s="8" t="s">
        <v>133</v>
      </c>
      <c r="J193" s="8" t="s">
        <v>129</v>
      </c>
      <c r="K193" s="8">
        <v>4138.67</v>
      </c>
      <c r="L193" s="8" t="s">
        <v>231</v>
      </c>
      <c r="M193" s="8"/>
      <c r="N193" s="8" t="s">
        <v>15</v>
      </c>
    </row>
    <row r="194" spans="1:14" x14ac:dyDescent="0.2">
      <c r="A194" s="8">
        <v>193</v>
      </c>
      <c r="B194" s="8" t="s">
        <v>593</v>
      </c>
      <c r="C194" s="8" t="s">
        <v>23</v>
      </c>
      <c r="D194" s="8" t="s">
        <v>594</v>
      </c>
      <c r="E194" s="8" t="s">
        <v>74</v>
      </c>
      <c r="F194" s="8" t="s">
        <v>75</v>
      </c>
      <c r="G194" s="8" t="s">
        <v>77</v>
      </c>
      <c r="H194" s="8" t="s">
        <v>156</v>
      </c>
      <c r="I194" s="8" t="s">
        <v>157</v>
      </c>
      <c r="J194" s="8" t="s">
        <v>77</v>
      </c>
      <c r="K194" s="8">
        <v>4129.92</v>
      </c>
      <c r="L194" s="8" t="s">
        <v>231</v>
      </c>
      <c r="M194" s="8"/>
      <c r="N194" s="8" t="s">
        <v>15</v>
      </c>
    </row>
    <row r="195" spans="1:14" x14ac:dyDescent="0.2">
      <c r="A195" s="8">
        <v>194</v>
      </c>
      <c r="B195" s="8" t="s">
        <v>595</v>
      </c>
      <c r="C195" s="8" t="s">
        <v>16</v>
      </c>
      <c r="D195" s="8" t="s">
        <v>596</v>
      </c>
      <c r="E195" s="8" t="s">
        <v>39</v>
      </c>
      <c r="F195" s="8" t="s">
        <v>40</v>
      </c>
      <c r="G195" s="8" t="s">
        <v>38</v>
      </c>
      <c r="H195" s="8" t="s">
        <v>132</v>
      </c>
      <c r="I195" s="8" t="s">
        <v>133</v>
      </c>
      <c r="J195" s="8" t="s">
        <v>129</v>
      </c>
      <c r="K195" s="8">
        <v>1769.53</v>
      </c>
      <c r="L195" s="8" t="s">
        <v>231</v>
      </c>
      <c r="M195" s="8"/>
      <c r="N195" s="8" t="s">
        <v>17</v>
      </c>
    </row>
    <row r="196" spans="1:14" x14ac:dyDescent="0.2">
      <c r="A196" s="8">
        <v>195</v>
      </c>
      <c r="B196" s="8" t="s">
        <v>597</v>
      </c>
      <c r="C196" s="8" t="s">
        <v>24</v>
      </c>
      <c r="D196" s="8" t="s">
        <v>598</v>
      </c>
      <c r="E196" s="8" t="s">
        <v>45</v>
      </c>
      <c r="F196" s="8" t="s">
        <v>46</v>
      </c>
      <c r="G196" s="8" t="s">
        <v>44</v>
      </c>
      <c r="H196" s="8" t="s">
        <v>111</v>
      </c>
      <c r="I196" s="8" t="s">
        <v>112</v>
      </c>
      <c r="J196" s="8" t="s">
        <v>110</v>
      </c>
      <c r="K196" s="8">
        <v>2209.11</v>
      </c>
      <c r="L196" s="8" t="s">
        <v>231</v>
      </c>
      <c r="M196" s="8"/>
      <c r="N196" s="8" t="s">
        <v>15</v>
      </c>
    </row>
    <row r="197" spans="1:14" x14ac:dyDescent="0.2">
      <c r="A197" s="8">
        <v>196</v>
      </c>
      <c r="B197" s="8" t="s">
        <v>599</v>
      </c>
      <c r="C197" s="8" t="s">
        <v>23</v>
      </c>
      <c r="D197" s="8" t="s">
        <v>600</v>
      </c>
      <c r="E197" s="8" t="s">
        <v>80</v>
      </c>
      <c r="F197" s="8" t="s">
        <v>81</v>
      </c>
      <c r="G197" s="8" t="s">
        <v>83</v>
      </c>
      <c r="H197" s="8" t="s">
        <v>158</v>
      </c>
      <c r="I197" s="8" t="s">
        <v>159</v>
      </c>
      <c r="J197" s="8" t="s">
        <v>160</v>
      </c>
      <c r="K197" s="8">
        <v>303.58</v>
      </c>
      <c r="L197" s="8" t="s">
        <v>231</v>
      </c>
      <c r="M197" s="8"/>
      <c r="N197" s="8" t="s">
        <v>15</v>
      </c>
    </row>
    <row r="198" spans="1:14" x14ac:dyDescent="0.2">
      <c r="A198" s="8">
        <v>197</v>
      </c>
      <c r="B198" s="8" t="s">
        <v>601</v>
      </c>
      <c r="C198" s="8" t="s">
        <v>16</v>
      </c>
      <c r="D198" s="8" t="s">
        <v>602</v>
      </c>
      <c r="E198" s="8" t="s">
        <v>41</v>
      </c>
      <c r="F198" s="8" t="s">
        <v>42</v>
      </c>
      <c r="G198" s="8" t="s">
        <v>44</v>
      </c>
      <c r="H198" s="8" t="s">
        <v>167</v>
      </c>
      <c r="I198" s="8" t="s">
        <v>168</v>
      </c>
      <c r="J198" s="8" t="s">
        <v>89</v>
      </c>
      <c r="K198" s="8">
        <v>3766.57</v>
      </c>
      <c r="L198" s="8" t="s">
        <v>236</v>
      </c>
      <c r="M198" s="8" t="s">
        <v>237</v>
      </c>
      <c r="N198" s="8" t="s">
        <v>19</v>
      </c>
    </row>
    <row r="199" spans="1:14" x14ac:dyDescent="0.2">
      <c r="A199" s="8">
        <v>198</v>
      </c>
      <c r="B199" s="8" t="s">
        <v>603</v>
      </c>
      <c r="C199" s="8" t="s">
        <v>16</v>
      </c>
      <c r="D199" s="8" t="s">
        <v>233</v>
      </c>
      <c r="E199" s="8" t="s">
        <v>84</v>
      </c>
      <c r="F199" s="8" t="s">
        <v>85</v>
      </c>
      <c r="G199" s="8" t="s">
        <v>83</v>
      </c>
      <c r="H199" s="8" t="s">
        <v>137</v>
      </c>
      <c r="I199" s="8" t="s">
        <v>138</v>
      </c>
      <c r="J199" s="8" t="s">
        <v>136</v>
      </c>
      <c r="K199" s="8">
        <v>2719.07</v>
      </c>
      <c r="L199" s="8" t="s">
        <v>236</v>
      </c>
      <c r="M199" s="8" t="s">
        <v>327</v>
      </c>
      <c r="N199" s="8" t="s">
        <v>19</v>
      </c>
    </row>
    <row r="200" spans="1:14" x14ac:dyDescent="0.2">
      <c r="A200" s="8">
        <v>199</v>
      </c>
      <c r="B200" s="8" t="s">
        <v>604</v>
      </c>
      <c r="C200" s="8" t="s">
        <v>22</v>
      </c>
      <c r="D200" s="8" t="s">
        <v>357</v>
      </c>
      <c r="E200" s="8" t="s">
        <v>90</v>
      </c>
      <c r="F200" s="8" t="s">
        <v>91</v>
      </c>
      <c r="G200" s="8" t="s">
        <v>89</v>
      </c>
      <c r="H200" s="8" t="s">
        <v>115</v>
      </c>
      <c r="I200" s="8" t="s">
        <v>116</v>
      </c>
      <c r="J200" s="8" t="s">
        <v>117</v>
      </c>
      <c r="K200" s="8">
        <v>3987.76</v>
      </c>
      <c r="L200" s="8" t="s">
        <v>236</v>
      </c>
      <c r="M200" s="8" t="s">
        <v>237</v>
      </c>
      <c r="N200" s="8" t="s">
        <v>19</v>
      </c>
    </row>
    <row r="201" spans="1:14" x14ac:dyDescent="0.2">
      <c r="A201" s="8">
        <v>200</v>
      </c>
      <c r="B201" s="8" t="s">
        <v>605</v>
      </c>
      <c r="C201" s="8" t="s">
        <v>24</v>
      </c>
      <c r="D201" s="8" t="s">
        <v>243</v>
      </c>
      <c r="E201" s="8" t="s">
        <v>90</v>
      </c>
      <c r="F201" s="8" t="s">
        <v>91</v>
      </c>
      <c r="G201" s="8" t="s">
        <v>89</v>
      </c>
      <c r="H201" s="8" t="s">
        <v>169</v>
      </c>
      <c r="I201" s="8" t="s">
        <v>170</v>
      </c>
      <c r="J201" s="8" t="s">
        <v>89</v>
      </c>
      <c r="K201" s="8">
        <v>4021.18</v>
      </c>
      <c r="L201" s="8" t="s">
        <v>231</v>
      </c>
      <c r="M201" s="8"/>
      <c r="N201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45" customWidth="1"/>
    <col min="3" max="3" width="11" customWidth="1"/>
    <col min="4" max="4" width="45" customWidth="1"/>
    <col min="5" max="6" width="17" customWidth="1"/>
    <col min="7" max="7" width="14" customWidth="1"/>
    <col min="8" max="8" width="17" customWidth="1"/>
  </cols>
  <sheetData>
    <row r="1" spans="1:8" ht="16" x14ac:dyDescent="0.2">
      <c r="A1" s="6" t="s">
        <v>25</v>
      </c>
      <c r="B1" s="6" t="s">
        <v>606</v>
      </c>
      <c r="C1" s="6" t="s">
        <v>104</v>
      </c>
      <c r="D1" s="6" t="s">
        <v>607</v>
      </c>
      <c r="E1" s="6" t="s">
        <v>8</v>
      </c>
      <c r="F1" s="6" t="s">
        <v>609</v>
      </c>
      <c r="G1" s="6" t="s">
        <v>610</v>
      </c>
      <c r="H1" s="6" t="s">
        <v>11</v>
      </c>
    </row>
    <row r="2" spans="1:8" x14ac:dyDescent="0.2">
      <c r="A2" s="8" t="s">
        <v>68</v>
      </c>
      <c r="B2" s="8" t="s">
        <v>69</v>
      </c>
      <c r="C2" s="8" t="s">
        <v>171</v>
      </c>
      <c r="D2" s="8" t="s">
        <v>173</v>
      </c>
      <c r="E2" s="8" t="s">
        <v>17</v>
      </c>
      <c r="F2" s="8">
        <v>3</v>
      </c>
      <c r="G2" s="8">
        <v>2</v>
      </c>
      <c r="H2" s="8">
        <v>66.7</v>
      </c>
    </row>
    <row r="3" spans="1:8" x14ac:dyDescent="0.2">
      <c r="A3" s="8" t="s">
        <v>39</v>
      </c>
      <c r="B3" s="8" t="s">
        <v>40</v>
      </c>
      <c r="C3" s="8" t="s">
        <v>132</v>
      </c>
      <c r="D3" s="8" t="s">
        <v>133</v>
      </c>
      <c r="E3" s="8" t="s">
        <v>17</v>
      </c>
      <c r="F3" s="8">
        <v>4</v>
      </c>
      <c r="G3" s="8">
        <v>2</v>
      </c>
      <c r="H3" s="8">
        <v>50</v>
      </c>
    </row>
    <row r="4" spans="1:8" x14ac:dyDescent="0.2">
      <c r="A4" s="8" t="s">
        <v>102</v>
      </c>
      <c r="B4" s="8" t="s">
        <v>103</v>
      </c>
      <c r="C4" s="8" t="s">
        <v>118</v>
      </c>
      <c r="D4" s="8" t="s">
        <v>119</v>
      </c>
      <c r="E4" s="8" t="s">
        <v>17</v>
      </c>
      <c r="F4" s="8">
        <v>4</v>
      </c>
      <c r="G4" s="8">
        <v>2</v>
      </c>
      <c r="H4" s="8">
        <v>50</v>
      </c>
    </row>
    <row r="5" spans="1:8" x14ac:dyDescent="0.2">
      <c r="A5" s="8" t="s">
        <v>74</v>
      </c>
      <c r="B5" s="8" t="s">
        <v>75</v>
      </c>
      <c r="C5" s="8" t="s">
        <v>139</v>
      </c>
      <c r="D5" s="8" t="s">
        <v>140</v>
      </c>
      <c r="E5" s="8" t="s">
        <v>17</v>
      </c>
      <c r="F5" s="8">
        <v>2</v>
      </c>
      <c r="G5" s="8">
        <v>1</v>
      </c>
      <c r="H5" s="8">
        <v>50</v>
      </c>
    </row>
    <row r="6" spans="1:8" x14ac:dyDescent="0.2">
      <c r="A6" s="8" t="s">
        <v>72</v>
      </c>
      <c r="B6" s="8" t="s">
        <v>73</v>
      </c>
      <c r="C6" s="8" t="s">
        <v>158</v>
      </c>
      <c r="D6" s="8" t="s">
        <v>159</v>
      </c>
      <c r="E6" s="8" t="s">
        <v>19</v>
      </c>
      <c r="F6" s="8">
        <v>2</v>
      </c>
      <c r="G6" s="8">
        <v>1</v>
      </c>
      <c r="H6" s="8">
        <v>50</v>
      </c>
    </row>
    <row r="7" spans="1:8" x14ac:dyDescent="0.2">
      <c r="A7" s="8" t="s">
        <v>62</v>
      </c>
      <c r="B7" s="8" t="s">
        <v>63</v>
      </c>
      <c r="C7" s="8" t="s">
        <v>127</v>
      </c>
      <c r="D7" s="8" t="s">
        <v>128</v>
      </c>
      <c r="E7" s="8" t="s">
        <v>17</v>
      </c>
      <c r="F7" s="8">
        <v>2</v>
      </c>
      <c r="G7" s="8">
        <v>1</v>
      </c>
      <c r="H7" s="8">
        <v>50</v>
      </c>
    </row>
    <row r="8" spans="1:8" x14ac:dyDescent="0.2">
      <c r="A8" s="8" t="s">
        <v>98</v>
      </c>
      <c r="B8" s="8" t="s">
        <v>99</v>
      </c>
      <c r="C8" s="8" t="s">
        <v>115</v>
      </c>
      <c r="D8" s="8" t="s">
        <v>116</v>
      </c>
      <c r="E8" s="8" t="s">
        <v>17</v>
      </c>
      <c r="F8" s="8">
        <v>2</v>
      </c>
      <c r="G8" s="8">
        <v>1</v>
      </c>
      <c r="H8" s="8">
        <v>50</v>
      </c>
    </row>
    <row r="9" spans="1:8" x14ac:dyDescent="0.2">
      <c r="A9" s="8" t="s">
        <v>56</v>
      </c>
      <c r="B9" s="8" t="s">
        <v>57</v>
      </c>
      <c r="C9" s="8" t="s">
        <v>152</v>
      </c>
      <c r="D9" s="8" t="s">
        <v>153</v>
      </c>
      <c r="E9" s="8" t="s">
        <v>15</v>
      </c>
      <c r="F9" s="8">
        <v>4</v>
      </c>
      <c r="G9" s="8">
        <v>1</v>
      </c>
      <c r="H9" s="8">
        <v>25</v>
      </c>
    </row>
    <row r="10" spans="1:8" x14ac:dyDescent="0.2">
      <c r="A10" s="8" t="s">
        <v>96</v>
      </c>
      <c r="B10" s="8" t="s">
        <v>97</v>
      </c>
      <c r="C10" s="8" t="s">
        <v>165</v>
      </c>
      <c r="D10" s="8" t="s">
        <v>166</v>
      </c>
      <c r="E10" s="8" t="s">
        <v>15</v>
      </c>
      <c r="F10" s="8">
        <v>4</v>
      </c>
      <c r="G10" s="8">
        <v>1</v>
      </c>
      <c r="H10" s="8">
        <v>25</v>
      </c>
    </row>
    <row r="11" spans="1:8" x14ac:dyDescent="0.2">
      <c r="A11" s="8" t="s">
        <v>96</v>
      </c>
      <c r="B11" s="8" t="s">
        <v>97</v>
      </c>
      <c r="C11" s="8" t="s">
        <v>163</v>
      </c>
      <c r="D11" s="8" t="s">
        <v>164</v>
      </c>
      <c r="E11" s="8" t="s">
        <v>15</v>
      </c>
      <c r="F11" s="8">
        <v>5</v>
      </c>
      <c r="G11" s="8">
        <v>1</v>
      </c>
      <c r="H11" s="8">
        <v>20</v>
      </c>
    </row>
    <row r="12" spans="1:8" x14ac:dyDescent="0.2">
      <c r="A12" s="8" t="s">
        <v>80</v>
      </c>
      <c r="B12" s="8" t="s">
        <v>81</v>
      </c>
      <c r="C12" s="8" t="s">
        <v>161</v>
      </c>
      <c r="D12" s="8" t="s">
        <v>162</v>
      </c>
      <c r="E12" s="8" t="s">
        <v>15</v>
      </c>
      <c r="F12" s="8">
        <v>6</v>
      </c>
      <c r="G12" s="8">
        <v>1</v>
      </c>
      <c r="H12" s="8">
        <v>16.7</v>
      </c>
    </row>
    <row r="13" spans="1:8" x14ac:dyDescent="0.2">
      <c r="A13" s="8" t="s">
        <v>86</v>
      </c>
      <c r="B13" s="8" t="s">
        <v>87</v>
      </c>
      <c r="C13" s="8" t="s">
        <v>167</v>
      </c>
      <c r="D13" s="8" t="s">
        <v>168</v>
      </c>
      <c r="E13" s="8" t="s">
        <v>15</v>
      </c>
      <c r="F13" s="8">
        <v>7</v>
      </c>
      <c r="G13" s="8">
        <v>0</v>
      </c>
      <c r="H13" s="8">
        <v>0</v>
      </c>
    </row>
    <row r="14" spans="1:8" x14ac:dyDescent="0.2">
      <c r="A14" s="8" t="s">
        <v>90</v>
      </c>
      <c r="B14" s="8" t="s">
        <v>91</v>
      </c>
      <c r="C14" s="8" t="s">
        <v>169</v>
      </c>
      <c r="D14" s="8" t="s">
        <v>170</v>
      </c>
      <c r="E14" s="8" t="s">
        <v>15</v>
      </c>
      <c r="F14" s="8">
        <v>6</v>
      </c>
      <c r="G14" s="8">
        <v>0</v>
      </c>
      <c r="H14" s="8">
        <v>0</v>
      </c>
    </row>
    <row r="15" spans="1:8" x14ac:dyDescent="0.2">
      <c r="A15" s="8" t="s">
        <v>90</v>
      </c>
      <c r="B15" s="8" t="s">
        <v>91</v>
      </c>
      <c r="C15" s="8" t="s">
        <v>167</v>
      </c>
      <c r="D15" s="8" t="s">
        <v>168</v>
      </c>
      <c r="E15" s="8" t="s">
        <v>15</v>
      </c>
      <c r="F15" s="8">
        <v>5</v>
      </c>
      <c r="G15" s="8">
        <v>0</v>
      </c>
      <c r="H15" s="8">
        <v>0</v>
      </c>
    </row>
    <row r="16" spans="1:8" x14ac:dyDescent="0.2">
      <c r="A16" s="8" t="s">
        <v>80</v>
      </c>
      <c r="B16" s="8" t="s">
        <v>81</v>
      </c>
      <c r="C16" s="8" t="s">
        <v>158</v>
      </c>
      <c r="D16" s="8" t="s">
        <v>159</v>
      </c>
      <c r="E16" s="8" t="s">
        <v>15</v>
      </c>
      <c r="F16" s="8">
        <v>4</v>
      </c>
      <c r="G16" s="8">
        <v>0</v>
      </c>
      <c r="H16" s="8">
        <v>0</v>
      </c>
    </row>
    <row r="17" spans="1:8" x14ac:dyDescent="0.2">
      <c r="A17" s="8" t="s">
        <v>92</v>
      </c>
      <c r="B17" s="8" t="s">
        <v>93</v>
      </c>
      <c r="C17" s="8" t="s">
        <v>165</v>
      </c>
      <c r="D17" s="8" t="s">
        <v>166</v>
      </c>
      <c r="E17" s="8" t="s">
        <v>15</v>
      </c>
      <c r="F17" s="8">
        <v>4</v>
      </c>
      <c r="G17" s="8">
        <v>0</v>
      </c>
      <c r="H17" s="8">
        <v>0</v>
      </c>
    </row>
    <row r="18" spans="1:8" x14ac:dyDescent="0.2">
      <c r="A18" s="8" t="s">
        <v>78</v>
      </c>
      <c r="B18" s="8" t="s">
        <v>79</v>
      </c>
      <c r="C18" s="8" t="s">
        <v>156</v>
      </c>
      <c r="D18" s="8" t="s">
        <v>157</v>
      </c>
      <c r="E18" s="8" t="s">
        <v>15</v>
      </c>
      <c r="F18" s="8">
        <v>4</v>
      </c>
      <c r="G18" s="8">
        <v>0</v>
      </c>
      <c r="H18" s="8">
        <v>0</v>
      </c>
    </row>
    <row r="19" spans="1:8" x14ac:dyDescent="0.2">
      <c r="A19" s="8" t="s">
        <v>84</v>
      </c>
      <c r="B19" s="8" t="s">
        <v>85</v>
      </c>
      <c r="C19" s="8" t="s">
        <v>158</v>
      </c>
      <c r="D19" s="8" t="s">
        <v>159</v>
      </c>
      <c r="E19" s="8" t="s">
        <v>15</v>
      </c>
      <c r="F19" s="8">
        <v>3</v>
      </c>
      <c r="G19" s="8">
        <v>0</v>
      </c>
      <c r="H19" s="8">
        <v>0</v>
      </c>
    </row>
    <row r="20" spans="1:8" x14ac:dyDescent="0.2">
      <c r="A20" s="8" t="s">
        <v>33</v>
      </c>
      <c r="B20" s="8" t="s">
        <v>34</v>
      </c>
      <c r="C20" s="8" t="s">
        <v>120</v>
      </c>
      <c r="D20" s="8" t="s">
        <v>121</v>
      </c>
      <c r="E20" s="8" t="s">
        <v>15</v>
      </c>
      <c r="F20" s="8">
        <v>3</v>
      </c>
      <c r="G20" s="8">
        <v>0</v>
      </c>
      <c r="H20" s="8">
        <v>0</v>
      </c>
    </row>
    <row r="21" spans="1:8" x14ac:dyDescent="0.2">
      <c r="A21" s="8" t="s">
        <v>60</v>
      </c>
      <c r="B21" s="8" t="s">
        <v>61</v>
      </c>
      <c r="C21" s="8" t="s">
        <v>150</v>
      </c>
      <c r="D21" s="8" t="s">
        <v>151</v>
      </c>
      <c r="E21" s="8" t="s">
        <v>15</v>
      </c>
      <c r="F21" s="8">
        <v>3</v>
      </c>
      <c r="G21" s="8">
        <v>0</v>
      </c>
      <c r="H21" s="8">
        <v>0</v>
      </c>
    </row>
    <row r="22" spans="1:8" x14ac:dyDescent="0.2">
      <c r="A22" s="8" t="s">
        <v>35</v>
      </c>
      <c r="B22" s="8" t="s">
        <v>36</v>
      </c>
      <c r="C22" s="8" t="s">
        <v>134</v>
      </c>
      <c r="D22" s="8" t="s">
        <v>135</v>
      </c>
      <c r="E22" s="8" t="s">
        <v>15</v>
      </c>
      <c r="F22" s="8">
        <v>3</v>
      </c>
      <c r="G22" s="8">
        <v>0</v>
      </c>
      <c r="H22" s="8">
        <v>0</v>
      </c>
    </row>
    <row r="23" spans="1:8" x14ac:dyDescent="0.2">
      <c r="A23" s="8" t="s">
        <v>41</v>
      </c>
      <c r="B23" s="8" t="s">
        <v>42</v>
      </c>
      <c r="C23" s="8" t="s">
        <v>130</v>
      </c>
      <c r="D23" s="8" t="s">
        <v>131</v>
      </c>
      <c r="E23" s="8" t="s">
        <v>15</v>
      </c>
      <c r="F23" s="8">
        <v>3</v>
      </c>
      <c r="G23" s="8">
        <v>0</v>
      </c>
      <c r="H23" s="8">
        <v>0</v>
      </c>
    </row>
    <row r="24" spans="1:8" x14ac:dyDescent="0.2">
      <c r="A24" s="8" t="s">
        <v>74</v>
      </c>
      <c r="B24" s="8" t="s">
        <v>75</v>
      </c>
      <c r="C24" s="8" t="s">
        <v>156</v>
      </c>
      <c r="D24" s="8" t="s">
        <v>157</v>
      </c>
      <c r="E24" s="8" t="s">
        <v>15</v>
      </c>
      <c r="F24" s="8">
        <v>3</v>
      </c>
      <c r="G24" s="8">
        <v>0</v>
      </c>
      <c r="H24" s="8">
        <v>0</v>
      </c>
    </row>
    <row r="25" spans="1:8" x14ac:dyDescent="0.2">
      <c r="A25" s="8" t="s">
        <v>54</v>
      </c>
      <c r="B25" s="8" t="s">
        <v>55</v>
      </c>
      <c r="C25" s="8" t="s">
        <v>177</v>
      </c>
      <c r="D25" s="8" t="s">
        <v>178</v>
      </c>
      <c r="E25" s="8" t="s">
        <v>17</v>
      </c>
      <c r="F25" s="8">
        <v>3</v>
      </c>
      <c r="G25" s="8">
        <v>0</v>
      </c>
      <c r="H25" s="8">
        <v>0</v>
      </c>
    </row>
    <row r="26" spans="1:8" x14ac:dyDescent="0.2">
      <c r="A26" s="8" t="s">
        <v>72</v>
      </c>
      <c r="B26" s="8" t="s">
        <v>73</v>
      </c>
      <c r="C26" s="8" t="s">
        <v>175</v>
      </c>
      <c r="D26" s="8" t="s">
        <v>176</v>
      </c>
      <c r="E26" s="8" t="s">
        <v>17</v>
      </c>
      <c r="F26" s="8">
        <v>3</v>
      </c>
      <c r="G26" s="8">
        <v>0</v>
      </c>
      <c r="H26" s="8">
        <v>0</v>
      </c>
    </row>
    <row r="27" spans="1:8" x14ac:dyDescent="0.2">
      <c r="A27" s="8" t="s">
        <v>33</v>
      </c>
      <c r="B27" s="8" t="s">
        <v>34</v>
      </c>
      <c r="C27" s="8" t="s">
        <v>107</v>
      </c>
      <c r="D27" s="8" t="s">
        <v>109</v>
      </c>
      <c r="E27" s="8" t="s">
        <v>15</v>
      </c>
      <c r="F27" s="8">
        <v>2</v>
      </c>
      <c r="G27" s="8">
        <v>0</v>
      </c>
      <c r="H27" s="8">
        <v>0</v>
      </c>
    </row>
    <row r="28" spans="1:8" x14ac:dyDescent="0.2">
      <c r="A28" s="8" t="s">
        <v>39</v>
      </c>
      <c r="B28" s="8" t="s">
        <v>40</v>
      </c>
      <c r="C28" s="8" t="s">
        <v>137</v>
      </c>
      <c r="D28" s="8" t="s">
        <v>138</v>
      </c>
      <c r="E28" s="8" t="s">
        <v>15</v>
      </c>
      <c r="F28" s="8">
        <v>2</v>
      </c>
      <c r="G28" s="8">
        <v>0</v>
      </c>
      <c r="H28" s="8">
        <v>0</v>
      </c>
    </row>
    <row r="29" spans="1:8" x14ac:dyDescent="0.2">
      <c r="A29" s="8" t="s">
        <v>45</v>
      </c>
      <c r="B29" s="8" t="s">
        <v>46</v>
      </c>
      <c r="C29" s="8" t="s">
        <v>130</v>
      </c>
      <c r="D29" s="8" t="s">
        <v>131</v>
      </c>
      <c r="E29" s="8" t="s">
        <v>15</v>
      </c>
      <c r="F29" s="8">
        <v>2</v>
      </c>
      <c r="G29" s="8">
        <v>0</v>
      </c>
      <c r="H29" s="8">
        <v>0</v>
      </c>
    </row>
    <row r="30" spans="1:8" x14ac:dyDescent="0.2">
      <c r="A30" s="8" t="s">
        <v>45</v>
      </c>
      <c r="B30" s="8" t="s">
        <v>46</v>
      </c>
      <c r="C30" s="8" t="s">
        <v>111</v>
      </c>
      <c r="D30" s="8" t="s">
        <v>112</v>
      </c>
      <c r="E30" s="8" t="s">
        <v>15</v>
      </c>
      <c r="F30" s="8">
        <v>2</v>
      </c>
      <c r="G30" s="8">
        <v>0</v>
      </c>
      <c r="H30" s="8">
        <v>0</v>
      </c>
    </row>
    <row r="31" spans="1:8" x14ac:dyDescent="0.2">
      <c r="A31" s="8" t="s">
        <v>54</v>
      </c>
      <c r="B31" s="8" t="s">
        <v>55</v>
      </c>
      <c r="C31" s="8" t="s">
        <v>190</v>
      </c>
      <c r="D31" s="8" t="s">
        <v>191</v>
      </c>
      <c r="E31" s="8" t="s">
        <v>15</v>
      </c>
      <c r="F31" s="8">
        <v>2</v>
      </c>
      <c r="G31" s="8">
        <v>0</v>
      </c>
      <c r="H31" s="8">
        <v>0</v>
      </c>
    </row>
    <row r="32" spans="1:8" x14ac:dyDescent="0.2">
      <c r="A32" s="8" t="s">
        <v>68</v>
      </c>
      <c r="B32" s="8" t="s">
        <v>69</v>
      </c>
      <c r="C32" s="8" t="s">
        <v>120</v>
      </c>
      <c r="D32" s="8" t="s">
        <v>121</v>
      </c>
      <c r="E32" s="8" t="s">
        <v>15</v>
      </c>
      <c r="F32" s="8">
        <v>2</v>
      </c>
      <c r="G32" s="8">
        <v>0</v>
      </c>
      <c r="H32" s="8">
        <v>0</v>
      </c>
    </row>
    <row r="33" spans="1:8" x14ac:dyDescent="0.2">
      <c r="A33" s="8" t="s">
        <v>102</v>
      </c>
      <c r="B33" s="8" t="s">
        <v>103</v>
      </c>
      <c r="C33" s="8" t="s">
        <v>115</v>
      </c>
      <c r="D33" s="8" t="s">
        <v>116</v>
      </c>
      <c r="E33" s="8" t="s">
        <v>17</v>
      </c>
      <c r="F33" s="8">
        <v>2</v>
      </c>
      <c r="G33" s="8">
        <v>0</v>
      </c>
      <c r="H33" s="8">
        <v>0</v>
      </c>
    </row>
    <row r="34" spans="1:8" x14ac:dyDescent="0.2">
      <c r="A34" s="8" t="s">
        <v>86</v>
      </c>
      <c r="B34" s="8" t="s">
        <v>87</v>
      </c>
      <c r="C34" s="8" t="s">
        <v>169</v>
      </c>
      <c r="D34" s="8" t="s">
        <v>170</v>
      </c>
      <c r="E34" s="8" t="s">
        <v>15</v>
      </c>
      <c r="F34" s="8">
        <v>2</v>
      </c>
      <c r="G34" s="8">
        <v>0</v>
      </c>
      <c r="H34" s="8">
        <v>0</v>
      </c>
    </row>
    <row r="35" spans="1:8" x14ac:dyDescent="0.2">
      <c r="A35" s="8" t="s">
        <v>66</v>
      </c>
      <c r="B35" s="8" t="s">
        <v>67</v>
      </c>
      <c r="C35" s="8" t="s">
        <v>148</v>
      </c>
      <c r="D35" s="8" t="s">
        <v>149</v>
      </c>
      <c r="E35" s="8" t="s">
        <v>15</v>
      </c>
      <c r="F35" s="8">
        <v>2</v>
      </c>
      <c r="G35" s="8">
        <v>0</v>
      </c>
      <c r="H35" s="8">
        <v>0</v>
      </c>
    </row>
    <row r="36" spans="1:8" x14ac:dyDescent="0.2">
      <c r="A36" s="8" t="s">
        <v>66</v>
      </c>
      <c r="B36" s="8" t="s">
        <v>67</v>
      </c>
      <c r="C36" s="8" t="s">
        <v>130</v>
      </c>
      <c r="D36" s="8" t="s">
        <v>131</v>
      </c>
      <c r="E36" s="8" t="s">
        <v>17</v>
      </c>
      <c r="F36" s="8">
        <v>2</v>
      </c>
      <c r="G36" s="8">
        <v>0</v>
      </c>
      <c r="H36" s="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Diagnoses (ICD-10)</vt:lpstr>
      <vt:lpstr>Procedures (CPT-HCPCS)</vt:lpstr>
      <vt:lpstr>Code Pairings Ref</vt:lpstr>
      <vt:lpstr>Claims (raw)</vt:lpstr>
      <vt:lpstr>Claim Validation</vt:lpstr>
      <vt:lpstr>Top Risky Pairings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Atharva Parulkar</cp:lastModifiedBy>
  <cp:revision>1</cp:revision>
  <dcterms:created xsi:type="dcterms:W3CDTF">2026-08-11T07:50:53Z</dcterms:created>
  <dcterms:modified xsi:type="dcterms:W3CDTF">2026-08-11T07:56:17Z</dcterms:modified>
  <dc:language>en-US</dc:language>
</cp:coreProperties>
</file>