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set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<sst xmlns="http://schemas.openxmlformats.org/spreadsheetml/2006/main" count="1692" uniqueCount="401">
  <si>
    <t xml:space="preserve">ICD-10 to CPT/HCPCS Crosswalk</t>
  </si>
  <si>
    <t xml:space="preserve">Simple version — read this tab first</t>
  </si>
  <si>
    <t xml:space="preserve">Problem</t>
  </si>
  <si>
    <t xml:space="preserve">Billing teams need a quick way to check whether a diagnosis code and a procedure code on a claim form a recognized, billable pairing before the claim goes out the door.</t>
  </si>
  <si>
    <t xml:space="preserve">Decision Logic</t>
  </si>
  <si>
    <t xml:space="preserve">Crosswalk confidence HIGH → APPROVED.</t>
  </si>
  <si>
    <t xml:space="preserve">Crosswalk confidence MEDIUM → HUMAN_REVIEW.</t>
  </si>
  <si>
    <t xml:space="preserve">Crosswalk confidence LOW, or no crosswalk entry found at all → DENIED.</t>
  </si>
  <si>
    <t xml:space="preserve">Impact (this sample)</t>
  </si>
  <si>
    <t xml:space="preserve">150 claims: 75 APPROVED, 18 HUMAN_REVIEW, 57 DENIED. Each crosswalk confidence tier maps to exactly one decision — HIGH is always APPROVED, MEDIUM is always HUMAN_REVIEW, LOW/NO_MATCH is always DENIED.</t>
  </si>
  <si>
    <t xml:space="preserve">Tables in This Workbook</t>
  </si>
  <si>
    <t xml:space="preserve">Dataset tab: all 150 claims, joined and labeled. Dashboard tab: KPI cards and a chart, all live formulas off the Dataset tab.</t>
  </si>
  <si>
    <t xml:space="preserve">Limitations</t>
  </si>
  <si>
    <t xml:space="preserve">Crosswalk confidence grades are illustrative, not sourced from an actual payer policy. Claims data is synthetically generated.</t>
  </si>
  <si>
    <t xml:space="preserve">claim_id</t>
  </si>
  <si>
    <t xml:space="preserve">patient_id</t>
  </si>
  <si>
    <t xml:space="preserve">payer</t>
  </si>
  <si>
    <t xml:space="preserve">service_date</t>
  </si>
  <si>
    <t xml:space="preserve">icd10_code</t>
  </si>
  <si>
    <t xml:space="preserve">diagnosis</t>
  </si>
  <si>
    <t xml:space="preserve">diagnosis_category</t>
  </si>
  <si>
    <t xml:space="preserve">proc_code</t>
  </si>
  <si>
    <t xml:space="preserve">procedure_desc</t>
  </si>
  <si>
    <t xml:space="preserve">procedure_category</t>
  </si>
  <si>
    <t xml:space="preserve">crosswalk_confidence</t>
  </si>
  <si>
    <t xml:space="preserve">billed_amount</t>
  </si>
  <si>
    <t xml:space="preserve">claim_decision</t>
  </si>
  <si>
    <t xml:space="preserve">PT1001</t>
  </si>
  <si>
    <t xml:space="preserve">UnitedHealthcare</t>
  </si>
  <si>
    <t xml:space="preserve">2026-01-14</t>
  </si>
  <si>
    <t xml:space="preserve">Z00.00</t>
  </si>
  <si>
    <t xml:space="preserve">Encounter for general adult medical examination without abnormal findings</t>
  </si>
  <si>
    <t xml:space="preserve">Preventive</t>
  </si>
  <si>
    <t xml:space="preserve">99395</t>
  </si>
  <si>
    <t xml:space="preserve">Periodic preventive medicine exam</t>
  </si>
  <si>
    <t xml:space="preserve">HIGH</t>
  </si>
  <si>
    <t xml:space="preserve">APPROVED</t>
  </si>
  <si>
    <t xml:space="preserve">PT1002</t>
  </si>
  <si>
    <t xml:space="preserve">Aetna</t>
  </si>
  <si>
    <t xml:space="preserve">2025-01-14</t>
  </si>
  <si>
    <t xml:space="preserve">H52.4</t>
  </si>
  <si>
    <t xml:space="preserve">Presbyopia</t>
  </si>
  <si>
    <t xml:space="preserve">Vision</t>
  </si>
  <si>
    <t xml:space="preserve">92014</t>
  </si>
  <si>
    <t xml:space="preserve">Comprehensive eye exam</t>
  </si>
  <si>
    <t xml:space="preserve">LOW</t>
  </si>
  <si>
    <t xml:space="preserve">DENIED</t>
  </si>
  <si>
    <t xml:space="preserve">PT1003</t>
  </si>
  <si>
    <t xml:space="preserve">2025-07-16</t>
  </si>
  <si>
    <t xml:space="preserve">PT1004</t>
  </si>
  <si>
    <t xml:space="preserve">Blue Cross Blue Shield</t>
  </si>
  <si>
    <t xml:space="preserve">2026-02-11</t>
  </si>
  <si>
    <t xml:space="preserve">PT1005</t>
  </si>
  <si>
    <t xml:space="preserve">2026-06-20</t>
  </si>
  <si>
    <t xml:space="preserve">R07.9</t>
  </si>
  <si>
    <t xml:space="preserve">Chest pain, unspecified</t>
  </si>
  <si>
    <t xml:space="preserve">Symptom</t>
  </si>
  <si>
    <t xml:space="preserve">93000</t>
  </si>
  <si>
    <t xml:space="preserve">Electrocardiogram, routine</t>
  </si>
  <si>
    <t xml:space="preserve">Cardiology</t>
  </si>
  <si>
    <t xml:space="preserve">PT1006</t>
  </si>
  <si>
    <t xml:space="preserve">2025-06-13</t>
  </si>
  <si>
    <t xml:space="preserve">M17.11</t>
  </si>
  <si>
    <t xml:space="preserve">Unilateral primary osteoarthritis, right knee</t>
  </si>
  <si>
    <t xml:space="preserve">Musculoskeletal</t>
  </si>
  <si>
    <t xml:space="preserve">29881</t>
  </si>
  <si>
    <t xml:space="preserve">Knee arthroscopy with meniscectomy</t>
  </si>
  <si>
    <t xml:space="preserve">Surgery</t>
  </si>
  <si>
    <t xml:space="preserve">MEDIUM</t>
  </si>
  <si>
    <t xml:space="preserve">HUMAN_REVIEW</t>
  </si>
  <si>
    <t xml:space="preserve">PT1007</t>
  </si>
  <si>
    <t xml:space="preserve">2025-10-03</t>
  </si>
  <si>
    <t xml:space="preserve">M54.50</t>
  </si>
  <si>
    <t xml:space="preserve">Low back pain, unspecified</t>
  </si>
  <si>
    <t xml:space="preserve">E0143</t>
  </si>
  <si>
    <t xml:space="preserve">Walker, folding, wheeled</t>
  </si>
  <si>
    <t xml:space="preserve">DME</t>
  </si>
  <si>
    <t xml:space="preserve">PT1008</t>
  </si>
  <si>
    <t xml:space="preserve">Medicaid</t>
  </si>
  <si>
    <t xml:space="preserve">2026-03-14</t>
  </si>
  <si>
    <t xml:space="preserve">N39.0</t>
  </si>
  <si>
    <t xml:space="preserve">Urinary tract infection, site not specified</t>
  </si>
  <si>
    <t xml:space="preserve">Renal</t>
  </si>
  <si>
    <t xml:space="preserve">83036</t>
  </si>
  <si>
    <t xml:space="preserve">Hemoglobin A1c blood test</t>
  </si>
  <si>
    <t xml:space="preserve">Lab</t>
  </si>
  <si>
    <t xml:space="preserve">PT1009</t>
  </si>
  <si>
    <t xml:space="preserve">2026-01-10</t>
  </si>
  <si>
    <t xml:space="preserve">C50.919</t>
  </si>
  <si>
    <t xml:space="preserve">Malignant neoplasm of unspecified site of unspecified female breast</t>
  </si>
  <si>
    <t xml:space="preserve">Oncology</t>
  </si>
  <si>
    <t xml:space="preserve">NO_MATCH</t>
  </si>
  <si>
    <t xml:space="preserve">PT1010</t>
  </si>
  <si>
    <t xml:space="preserve">Cigna</t>
  </si>
  <si>
    <t xml:space="preserve">2026-03-23</t>
  </si>
  <si>
    <t xml:space="preserve">J45.909</t>
  </si>
  <si>
    <t xml:space="preserve">Unspecified asthma, uncomplicated</t>
  </si>
  <si>
    <t xml:space="preserve">Respiratory</t>
  </si>
  <si>
    <t xml:space="preserve">73721</t>
  </si>
  <si>
    <t xml:space="preserve">MRI of lower extremity joint</t>
  </si>
  <si>
    <t xml:space="preserve">Imaging</t>
  </si>
  <si>
    <t xml:space="preserve">PT1011</t>
  </si>
  <si>
    <t xml:space="preserve">2026-02-22</t>
  </si>
  <si>
    <t xml:space="preserve">K21.9</t>
  </si>
  <si>
    <t xml:space="preserve">Gastro-esophageal reflux disease without esophagitis</t>
  </si>
  <si>
    <t xml:space="preserve">GI</t>
  </si>
  <si>
    <t xml:space="preserve">77067</t>
  </si>
  <si>
    <t xml:space="preserve">Screening mammography, bilateral</t>
  </si>
  <si>
    <t xml:space="preserve">PT1012</t>
  </si>
  <si>
    <t xml:space="preserve">2025-10-14</t>
  </si>
  <si>
    <t xml:space="preserve">PT1013</t>
  </si>
  <si>
    <t xml:space="preserve">2025-12-01</t>
  </si>
  <si>
    <t xml:space="preserve">71046</t>
  </si>
  <si>
    <t xml:space="preserve">Chest X-ray, 2 views</t>
  </si>
  <si>
    <t xml:space="preserve">PT1014</t>
  </si>
  <si>
    <t xml:space="preserve">2025-08-05</t>
  </si>
  <si>
    <t xml:space="preserve">80053</t>
  </si>
  <si>
    <t xml:space="preserve">Comprehensive metabolic blood panel</t>
  </si>
  <si>
    <t xml:space="preserve">PT1015</t>
  </si>
  <si>
    <t xml:space="preserve">2025-03-06</t>
  </si>
  <si>
    <t xml:space="preserve">F32.9</t>
  </si>
  <si>
    <t xml:space="preserve">Major depressive disorder, single episode, unspecified</t>
  </si>
  <si>
    <t xml:space="preserve">BehavioralHealth</t>
  </si>
  <si>
    <t xml:space="preserve">PT1016</t>
  </si>
  <si>
    <t xml:space="preserve">2025-12-19</t>
  </si>
  <si>
    <t xml:space="preserve">PT1017</t>
  </si>
  <si>
    <t xml:space="preserve">2025-10-28</t>
  </si>
  <si>
    <t xml:space="preserve">I10</t>
  </si>
  <si>
    <t xml:space="preserve">Essential (primary) hypertension</t>
  </si>
  <si>
    <t xml:space="preserve">Cardiovascular</t>
  </si>
  <si>
    <t xml:space="preserve">PT1018</t>
  </si>
  <si>
    <t xml:space="preserve">2025-02-16</t>
  </si>
  <si>
    <t xml:space="preserve">99213</t>
  </si>
  <si>
    <t xml:space="preserve">Office visit, established patient</t>
  </si>
  <si>
    <t xml:space="preserve">OfficeVisit</t>
  </si>
  <si>
    <t xml:space="preserve">PT1019</t>
  </si>
  <si>
    <t xml:space="preserve">2026-06-02</t>
  </si>
  <si>
    <t xml:space="preserve">PT1020</t>
  </si>
  <si>
    <t xml:space="preserve">2025-04-21</t>
  </si>
  <si>
    <t xml:space="preserve">E11.9</t>
  </si>
  <si>
    <t xml:space="preserve">Type 2 diabetes mellitus without complications</t>
  </si>
  <si>
    <t xml:space="preserve">Diabetes</t>
  </si>
  <si>
    <t xml:space="preserve">PT1021</t>
  </si>
  <si>
    <t xml:space="preserve">2025-10-26</t>
  </si>
  <si>
    <t xml:space="preserve">PT1022</t>
  </si>
  <si>
    <t xml:space="preserve">2025-11-18</t>
  </si>
  <si>
    <t xml:space="preserve">PT1023</t>
  </si>
  <si>
    <t xml:space="preserve">2026-04-17</t>
  </si>
  <si>
    <t xml:space="preserve">PT1024</t>
  </si>
  <si>
    <t xml:space="preserve">2025-04-16</t>
  </si>
  <si>
    <t xml:space="preserve">PT1025</t>
  </si>
  <si>
    <t xml:space="preserve">2025-09-01</t>
  </si>
  <si>
    <t xml:space="preserve">PT1026</t>
  </si>
  <si>
    <t xml:space="preserve">Medicare</t>
  </si>
  <si>
    <t xml:space="preserve">2025-11-07</t>
  </si>
  <si>
    <t xml:space="preserve">PT1027</t>
  </si>
  <si>
    <t xml:space="preserve">2025-11-19</t>
  </si>
  <si>
    <t xml:space="preserve">PT1028</t>
  </si>
  <si>
    <t xml:space="preserve">2025-03-03</t>
  </si>
  <si>
    <t xml:space="preserve">PT1029</t>
  </si>
  <si>
    <t xml:space="preserve">2025-12-28</t>
  </si>
  <si>
    <t xml:space="preserve">J0696</t>
  </si>
  <si>
    <t xml:space="preserve">Injection, ceftriaxone sodium, per 250 mg</t>
  </si>
  <si>
    <t xml:space="preserve">DrugInjection</t>
  </si>
  <si>
    <t xml:space="preserve">PT1030</t>
  </si>
  <si>
    <t xml:space="preserve">2025-03-04</t>
  </si>
  <si>
    <t xml:space="preserve">PT1031</t>
  </si>
  <si>
    <t xml:space="preserve">2026-04-13</t>
  </si>
  <si>
    <t xml:space="preserve">PT1032</t>
  </si>
  <si>
    <t xml:space="preserve">2025-07-09</t>
  </si>
  <si>
    <t xml:space="preserve">PT1033</t>
  </si>
  <si>
    <t xml:space="preserve">2025-11-04</t>
  </si>
  <si>
    <t xml:space="preserve">PT1034</t>
  </si>
  <si>
    <t xml:space="preserve">2025-05-15</t>
  </si>
  <si>
    <t xml:space="preserve">PT1035</t>
  </si>
  <si>
    <t xml:space="preserve">2025-12-02</t>
  </si>
  <si>
    <t xml:space="preserve">PT1036</t>
  </si>
  <si>
    <t xml:space="preserve">2025-04-15</t>
  </si>
  <si>
    <t xml:space="preserve">PT1037</t>
  </si>
  <si>
    <t xml:space="preserve">2026-03-25</t>
  </si>
  <si>
    <t xml:space="preserve">PT1038</t>
  </si>
  <si>
    <t xml:space="preserve">2026-04-07</t>
  </si>
  <si>
    <t xml:space="preserve">96413</t>
  </si>
  <si>
    <t xml:space="preserve">Chemotherapy infusion, initial hour</t>
  </si>
  <si>
    <t xml:space="preserve">PT1039</t>
  </si>
  <si>
    <t xml:space="preserve">45378</t>
  </si>
  <si>
    <t xml:space="preserve">Diagnostic colonoscopy</t>
  </si>
  <si>
    <t xml:space="preserve">PT1040</t>
  </si>
  <si>
    <t xml:space="preserve">2025-12-15</t>
  </si>
  <si>
    <t xml:space="preserve">PT1041</t>
  </si>
  <si>
    <t xml:space="preserve">2025-05-13</t>
  </si>
  <si>
    <t xml:space="preserve">PT1042</t>
  </si>
  <si>
    <t xml:space="preserve">2025-12-21</t>
  </si>
  <si>
    <t xml:space="preserve">PT1043</t>
  </si>
  <si>
    <t xml:space="preserve">2025-02-06</t>
  </si>
  <si>
    <t xml:space="preserve">PT1044</t>
  </si>
  <si>
    <t xml:space="preserve">2026-06-07</t>
  </si>
  <si>
    <t xml:space="preserve">PT1045</t>
  </si>
  <si>
    <t xml:space="preserve">2026-06-16</t>
  </si>
  <si>
    <t xml:space="preserve">PT1046</t>
  </si>
  <si>
    <t xml:space="preserve">2025-10-21</t>
  </si>
  <si>
    <t xml:space="preserve">PT1047</t>
  </si>
  <si>
    <t xml:space="preserve">2026-06-09</t>
  </si>
  <si>
    <t xml:space="preserve">PT1048</t>
  </si>
  <si>
    <t xml:space="preserve">PT1049</t>
  </si>
  <si>
    <t xml:space="preserve">2025-09-02</t>
  </si>
  <si>
    <t xml:space="preserve">PT1050</t>
  </si>
  <si>
    <t xml:space="preserve">2025-04-27</t>
  </si>
  <si>
    <t xml:space="preserve">PT1051</t>
  </si>
  <si>
    <t xml:space="preserve">PT1052</t>
  </si>
  <si>
    <t xml:space="preserve">2025-06-25</t>
  </si>
  <si>
    <t xml:space="preserve">PT1053</t>
  </si>
  <si>
    <t xml:space="preserve">2026-05-15</t>
  </si>
  <si>
    <t xml:space="preserve">PT1054</t>
  </si>
  <si>
    <t xml:space="preserve">2025-09-12</t>
  </si>
  <si>
    <t xml:space="preserve">PT1055</t>
  </si>
  <si>
    <t xml:space="preserve">2026-04-30</t>
  </si>
  <si>
    <t xml:space="preserve">PT1056</t>
  </si>
  <si>
    <t xml:space="preserve">2025-02-17</t>
  </si>
  <si>
    <t xml:space="preserve">PT1057</t>
  </si>
  <si>
    <t xml:space="preserve">2025-03-30</t>
  </si>
  <si>
    <t xml:space="preserve">PT1058</t>
  </si>
  <si>
    <t xml:space="preserve">2025-03-15</t>
  </si>
  <si>
    <t xml:space="preserve">PT1059</t>
  </si>
  <si>
    <t xml:space="preserve">2026-01-05</t>
  </si>
  <si>
    <t xml:space="preserve">PT1060</t>
  </si>
  <si>
    <t xml:space="preserve">2025-01-04</t>
  </si>
  <si>
    <t xml:space="preserve">PT1061</t>
  </si>
  <si>
    <t xml:space="preserve">2025-07-02</t>
  </si>
  <si>
    <t xml:space="preserve">PT1062</t>
  </si>
  <si>
    <t xml:space="preserve">2026-01-25</t>
  </si>
  <si>
    <t xml:space="preserve">PT1063</t>
  </si>
  <si>
    <t xml:space="preserve">2026-01-17</t>
  </si>
  <si>
    <t xml:space="preserve">PT1064</t>
  </si>
  <si>
    <t xml:space="preserve">2026-03-05</t>
  </si>
  <si>
    <t xml:space="preserve">PT1065</t>
  </si>
  <si>
    <t xml:space="preserve">PT1066</t>
  </si>
  <si>
    <t xml:space="preserve">2025-11-30</t>
  </si>
  <si>
    <t xml:space="preserve">PT1067</t>
  </si>
  <si>
    <t xml:space="preserve">2025-05-07</t>
  </si>
  <si>
    <t xml:space="preserve">PT1068</t>
  </si>
  <si>
    <t xml:space="preserve">2025-04-22</t>
  </si>
  <si>
    <t xml:space="preserve">PT1069</t>
  </si>
  <si>
    <t xml:space="preserve">2025-01-06</t>
  </si>
  <si>
    <t xml:space="preserve">PT1070</t>
  </si>
  <si>
    <t xml:space="preserve">2026-06-24</t>
  </si>
  <si>
    <t xml:space="preserve">PT1071</t>
  </si>
  <si>
    <t xml:space="preserve">2025-01-25</t>
  </si>
  <si>
    <t xml:space="preserve">PT1072</t>
  </si>
  <si>
    <t xml:space="preserve">2026-05-09</t>
  </si>
  <si>
    <t xml:space="preserve">PT1073</t>
  </si>
  <si>
    <t xml:space="preserve">2025-02-07</t>
  </si>
  <si>
    <t xml:space="preserve">PT1074</t>
  </si>
  <si>
    <t xml:space="preserve">PT1075</t>
  </si>
  <si>
    <t xml:space="preserve">2025-11-29</t>
  </si>
  <si>
    <t xml:space="preserve">PT1076</t>
  </si>
  <si>
    <t xml:space="preserve">2025-07-04</t>
  </si>
  <si>
    <t xml:space="preserve">PT1077</t>
  </si>
  <si>
    <t xml:space="preserve">2025-09-16</t>
  </si>
  <si>
    <t xml:space="preserve">PT1078</t>
  </si>
  <si>
    <t xml:space="preserve">PT1079</t>
  </si>
  <si>
    <t xml:space="preserve">2025-06-14</t>
  </si>
  <si>
    <t xml:space="preserve">PT1080</t>
  </si>
  <si>
    <t xml:space="preserve">2026-06-14</t>
  </si>
  <si>
    <t xml:space="preserve">PT1081</t>
  </si>
  <si>
    <t xml:space="preserve">2025-06-16</t>
  </si>
  <si>
    <t xml:space="preserve">PT1082</t>
  </si>
  <si>
    <t xml:space="preserve">2026-03-30</t>
  </si>
  <si>
    <t xml:space="preserve">PT1083</t>
  </si>
  <si>
    <t xml:space="preserve">2026-06-12</t>
  </si>
  <si>
    <t xml:space="preserve">PT1084</t>
  </si>
  <si>
    <t xml:space="preserve">2025-10-30</t>
  </si>
  <si>
    <t xml:space="preserve">PT1085</t>
  </si>
  <si>
    <t xml:space="preserve">2025-10-01</t>
  </si>
  <si>
    <t xml:space="preserve">PT1086</t>
  </si>
  <si>
    <t xml:space="preserve">2026-01-27</t>
  </si>
  <si>
    <t xml:space="preserve">PT1087</t>
  </si>
  <si>
    <t xml:space="preserve">2026-05-10</t>
  </si>
  <si>
    <t xml:space="preserve">PT1088</t>
  </si>
  <si>
    <t xml:space="preserve">2025-07-30</t>
  </si>
  <si>
    <t xml:space="preserve">PT1089</t>
  </si>
  <si>
    <t xml:space="preserve">2026-05-08</t>
  </si>
  <si>
    <t xml:space="preserve">PT1090</t>
  </si>
  <si>
    <t xml:space="preserve">PT1091</t>
  </si>
  <si>
    <t xml:space="preserve">2025-03-12</t>
  </si>
  <si>
    <t xml:space="preserve">PT1092</t>
  </si>
  <si>
    <t xml:space="preserve">2025-05-21</t>
  </si>
  <si>
    <t xml:space="preserve">PT1093</t>
  </si>
  <si>
    <t xml:space="preserve">2025-06-23</t>
  </si>
  <si>
    <t xml:space="preserve">PT1094</t>
  </si>
  <si>
    <t xml:space="preserve">2025-03-29</t>
  </si>
  <si>
    <t xml:space="preserve">PT1095</t>
  </si>
  <si>
    <t xml:space="preserve">2026-01-01</t>
  </si>
  <si>
    <t xml:space="preserve">PT1096</t>
  </si>
  <si>
    <t xml:space="preserve">2025-01-31</t>
  </si>
  <si>
    <t xml:space="preserve">90837</t>
  </si>
  <si>
    <t xml:space="preserve">Psychotherapy, individual, 60 minutes</t>
  </si>
  <si>
    <t xml:space="preserve">PT1097</t>
  </si>
  <si>
    <t xml:space="preserve">2025-08-04</t>
  </si>
  <si>
    <t xml:space="preserve">PT1098</t>
  </si>
  <si>
    <t xml:space="preserve">2025-05-09</t>
  </si>
  <si>
    <t xml:space="preserve">PT1099</t>
  </si>
  <si>
    <t xml:space="preserve">2026-03-19</t>
  </si>
  <si>
    <t xml:space="preserve">PT1100</t>
  </si>
  <si>
    <t xml:space="preserve">2026-01-19</t>
  </si>
  <si>
    <t xml:space="preserve">PT1101</t>
  </si>
  <si>
    <t xml:space="preserve">2025-09-29</t>
  </si>
  <si>
    <t xml:space="preserve">PT1102</t>
  </si>
  <si>
    <t xml:space="preserve">2026-06-23</t>
  </si>
  <si>
    <t xml:space="preserve">PT1103</t>
  </si>
  <si>
    <t xml:space="preserve">2025-10-29</t>
  </si>
  <si>
    <t xml:space="preserve">PT1104</t>
  </si>
  <si>
    <t xml:space="preserve">2025-06-03</t>
  </si>
  <si>
    <t xml:space="preserve">PT1105</t>
  </si>
  <si>
    <t xml:space="preserve">PT1106</t>
  </si>
  <si>
    <t xml:space="preserve">2026-03-07</t>
  </si>
  <si>
    <t xml:space="preserve">PT1107</t>
  </si>
  <si>
    <t xml:space="preserve">2025-11-16</t>
  </si>
  <si>
    <t xml:space="preserve">PT1108</t>
  </si>
  <si>
    <t xml:space="preserve">2025-07-05</t>
  </si>
  <si>
    <t xml:space="preserve">PT1109</t>
  </si>
  <si>
    <t xml:space="preserve">2026-01-03</t>
  </si>
  <si>
    <t xml:space="preserve">PT1110</t>
  </si>
  <si>
    <t xml:space="preserve">2025-02-13</t>
  </si>
  <si>
    <t xml:space="preserve">PT1111</t>
  </si>
  <si>
    <t xml:space="preserve">2025-12-29</t>
  </si>
  <si>
    <t xml:space="preserve">PT1112</t>
  </si>
  <si>
    <t xml:space="preserve">PT1113</t>
  </si>
  <si>
    <t xml:space="preserve">2025-04-26</t>
  </si>
  <si>
    <t xml:space="preserve">PT1114</t>
  </si>
  <si>
    <t xml:space="preserve">2025-07-13</t>
  </si>
  <si>
    <t xml:space="preserve">PT1115</t>
  </si>
  <si>
    <t xml:space="preserve">2025-05-12</t>
  </si>
  <si>
    <t xml:space="preserve">PT1116</t>
  </si>
  <si>
    <t xml:space="preserve">2026-06-25</t>
  </si>
  <si>
    <t xml:space="preserve">PT1117</t>
  </si>
  <si>
    <t xml:space="preserve">PT1118</t>
  </si>
  <si>
    <t xml:space="preserve">2025-11-20</t>
  </si>
  <si>
    <t xml:space="preserve">PT1119</t>
  </si>
  <si>
    <t xml:space="preserve">2026-06-26</t>
  </si>
  <si>
    <t xml:space="preserve">PT1120</t>
  </si>
  <si>
    <t xml:space="preserve">PT1121</t>
  </si>
  <si>
    <t xml:space="preserve">2025-08-28</t>
  </si>
  <si>
    <t xml:space="preserve">PT1122</t>
  </si>
  <si>
    <t xml:space="preserve">2025-07-18</t>
  </si>
  <si>
    <t xml:space="preserve">PT1123</t>
  </si>
  <si>
    <t xml:space="preserve">2026-03-31</t>
  </si>
  <si>
    <t xml:space="preserve">PT1124</t>
  </si>
  <si>
    <t xml:space="preserve">2025-05-19</t>
  </si>
  <si>
    <t xml:space="preserve">PT1125</t>
  </si>
  <si>
    <t xml:space="preserve">2026-01-04</t>
  </si>
  <si>
    <t xml:space="preserve">PT1126</t>
  </si>
  <si>
    <t xml:space="preserve">2025-01-20</t>
  </si>
  <si>
    <t xml:space="preserve">PT1127</t>
  </si>
  <si>
    <t xml:space="preserve">2025-05-18</t>
  </si>
  <si>
    <t xml:space="preserve">PT1128</t>
  </si>
  <si>
    <t xml:space="preserve">2025-12-18</t>
  </si>
  <si>
    <t xml:space="preserve">PT1129</t>
  </si>
  <si>
    <t xml:space="preserve">2026-03-24</t>
  </si>
  <si>
    <t xml:space="preserve">PT1130</t>
  </si>
  <si>
    <t xml:space="preserve">PT1131</t>
  </si>
  <si>
    <t xml:space="preserve">2026-05-25</t>
  </si>
  <si>
    <t xml:space="preserve">PT1132</t>
  </si>
  <si>
    <t xml:space="preserve">2026-05-16</t>
  </si>
  <si>
    <t xml:space="preserve">PT1133</t>
  </si>
  <si>
    <t xml:space="preserve">2026-02-16</t>
  </si>
  <si>
    <t xml:space="preserve">PT1134</t>
  </si>
  <si>
    <t xml:space="preserve">2025-09-20</t>
  </si>
  <si>
    <t xml:space="preserve">PT1135</t>
  </si>
  <si>
    <t xml:space="preserve">PT1136</t>
  </si>
  <si>
    <t xml:space="preserve">PT1137</t>
  </si>
  <si>
    <t xml:space="preserve">2025-08-03</t>
  </si>
  <si>
    <t xml:space="preserve">PT1138</t>
  </si>
  <si>
    <t xml:space="preserve">2025-01-29</t>
  </si>
  <si>
    <t xml:space="preserve">PT1139</t>
  </si>
  <si>
    <t xml:space="preserve">PT1140</t>
  </si>
  <si>
    <t xml:space="preserve">PT1141</t>
  </si>
  <si>
    <t xml:space="preserve">2025-02-10</t>
  </si>
  <si>
    <t xml:space="preserve">PT1142</t>
  </si>
  <si>
    <t xml:space="preserve">2025-04-07</t>
  </si>
  <si>
    <t xml:space="preserve">PT1143</t>
  </si>
  <si>
    <t xml:space="preserve">2025-04-29</t>
  </si>
  <si>
    <t xml:space="preserve">PT1144</t>
  </si>
  <si>
    <t xml:space="preserve">2025-10-25</t>
  </si>
  <si>
    <t xml:space="preserve">PT1145</t>
  </si>
  <si>
    <t xml:space="preserve">PT1146</t>
  </si>
  <si>
    <t xml:space="preserve">2025-12-20</t>
  </si>
  <si>
    <t xml:space="preserve">PT1147</t>
  </si>
  <si>
    <t xml:space="preserve">PT1148</t>
  </si>
  <si>
    <t xml:space="preserve">2026-05-31</t>
  </si>
  <si>
    <t xml:space="preserve">PT1149</t>
  </si>
  <si>
    <t xml:space="preserve">2025-12-06</t>
  </si>
  <si>
    <t xml:space="preserve">PT1150</t>
  </si>
  <si>
    <t xml:space="preserve">2025-12-26</t>
  </si>
  <si>
    <t xml:space="preserve">Crosswalk Decision Dashboard</t>
  </si>
  <si>
    <t xml:space="preserve">Live formulas reference the Dataset sheet</t>
  </si>
  <si>
    <t xml:space="preserve">Total Claims</t>
  </si>
  <si>
    <t xml:space="preserve">Approved</t>
  </si>
  <si>
    <t xml:space="preserve">Human Review</t>
  </si>
  <si>
    <t xml:space="preserve">Denied</t>
  </si>
  <si>
    <t xml:space="preserve">Decision by Crosswalk Confidence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</si>
</sst>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375623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BF8F00"/>
      <name val="Cambria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Decision by Confidence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Dashboard!B9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NO_MATCH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Dashboard!C9</c:f>
              <c:strCache>
                <c:ptCount val="1"/>
                <c:pt idx="0">
                  <c:v>HUMAN_REVIEW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NO_MATCH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Dashboard!D9</c:f>
              <c:strCache>
                <c:ptCount val="1"/>
                <c:pt idx="0">
                  <c:v>DENIED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Dashboard!$A$10:$A$13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NO_MATCH</c:v>
                </c:pt>
              </c:strCache>
            </c:strRef>
          </c:cat>
          <c:val>
            <c:numRef>
              <c:f>Dashboard!$D$10:$D$13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23</c:v>
                </c:pt>
                <c:pt idx="3">
                  <c:v>34</c:v>
                </c:pt>
              </c:numCache>
            </c:numRef>
          </c:val>
        </c:ser>
        <c:gapWidth val="150"/>
        <c:overlap val="100"/>
        <c:axId val="99814587"/>
        <c:axId val="50280577"/>
      </c:barChart>
      <c:catAx>
        <c:axId val="99814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80577"/>
        <c:crosses val="autoZero"/>
        <c:auto val="1"/>
        <c:lblAlgn val="ctr"/>
        <c:lblOffset val="100"/>
        <c:noMultiLvlLbl val="0"/>
      </c:catAx>
      <c:valAx>
        <c:axId val="50280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145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121680</xdr:rowOff>
    </xdr:from>
    <xdr:to>
      <xdr:col>5</xdr:col>
      <xdr:colOff>339840</xdr:colOff>
      <xdr:row>27</xdr:row>
      <xdr:rowOff>144000</xdr:rowOff>
    </xdr:to>
    <xdr:graphicFrame>
      <xdr:nvGraphicFramePr>
        <xdr:cNvPr id="0" name="Chart 1"/>
        <xdr:cNvGraphicFramePr/>
      </xdr:nvGraphicFramePr>
      <xdr:xfrm>
        <a:off x="0" y="2666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33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7" customFormat="false" ht="18" hidden="false" customHeight="true" outlineLevel="0" collapsed="false">
      <c r="A7" s="3" t="s">
        <v>4</v>
      </c>
      <c r="B7" s="3"/>
      <c r="C7" s="3"/>
      <c r="D7" s="3"/>
      <c r="E7" s="3"/>
      <c r="F7" s="3"/>
      <c r="G7" s="3"/>
      <c r="H7" s="3"/>
    </row>
    <row r="8" customFormat="false" ht="18.75" hidden="false" customHeight="true" outlineLevel="0" collapsed="false">
      <c r="A8" s="4" t="s">
        <v>5</v>
      </c>
      <c r="B8" s="4"/>
      <c r="C8" s="4"/>
      <c r="D8" s="4"/>
      <c r="E8" s="4"/>
      <c r="F8" s="4"/>
      <c r="G8" s="4"/>
      <c r="H8" s="4"/>
    </row>
    <row r="9" customFormat="false" ht="18.75" hidden="false" customHeight="true" outlineLevel="0" collapsed="false">
      <c r="A9" s="4" t="s">
        <v>6</v>
      </c>
      <c r="B9" s="4"/>
      <c r="C9" s="4"/>
      <c r="D9" s="4"/>
      <c r="E9" s="4"/>
      <c r="F9" s="4"/>
      <c r="G9" s="4"/>
      <c r="H9" s="4"/>
    </row>
    <row r="10" customFormat="false" ht="18.75" hidden="false" customHeight="true" outlineLevel="0" collapsed="false">
      <c r="A10" s="4" t="s">
        <v>7</v>
      </c>
      <c r="B10" s="4"/>
      <c r="C10" s="4"/>
      <c r="D10" s="4"/>
      <c r="E10" s="4"/>
      <c r="F10" s="4"/>
      <c r="G10" s="4"/>
      <c r="H10" s="4"/>
    </row>
    <row r="12" customFormat="false" ht="18" hidden="false" customHeight="true" outlineLevel="0" collapsed="false">
      <c r="A12" s="3" t="s">
        <v>8</v>
      </c>
      <c r="B12" s="3"/>
      <c r="C12" s="3"/>
      <c r="D12" s="3"/>
      <c r="E12" s="3"/>
      <c r="F12" s="3"/>
      <c r="G12" s="3"/>
      <c r="H12" s="3"/>
    </row>
    <row r="13" customFormat="false" ht="33.75" hidden="false" customHeight="true" outlineLevel="0" collapsed="false">
      <c r="A13" s="4" t="s">
        <v>9</v>
      </c>
      <c r="B13" s="4"/>
      <c r="C13" s="4"/>
      <c r="D13" s="4"/>
      <c r="E13" s="4"/>
      <c r="F13" s="4"/>
      <c r="G13" s="4"/>
      <c r="H13" s="4"/>
    </row>
    <row r="15" customFormat="false" ht="18" hidden="false" customHeight="true" outlineLevel="0" collapsed="false">
      <c r="A15" s="3" t="s">
        <v>10</v>
      </c>
      <c r="B15" s="3"/>
      <c r="C15" s="3"/>
      <c r="D15" s="3"/>
      <c r="E15" s="3"/>
      <c r="F15" s="3"/>
      <c r="G15" s="3"/>
      <c r="H15" s="3"/>
    </row>
    <row r="16" customFormat="false" ht="18.75" hidden="false" customHeight="true" outlineLevel="0" collapsed="false">
      <c r="A16" s="4" t="s">
        <v>11</v>
      </c>
      <c r="B16" s="4"/>
      <c r="C16" s="4"/>
      <c r="D16" s="4"/>
      <c r="E16" s="4"/>
      <c r="F16" s="4"/>
      <c r="G16" s="4"/>
      <c r="H16" s="4"/>
    </row>
    <row r="18" customFormat="false" ht="18" hidden="false" customHeight="true" outlineLevel="0" collapsed="false">
      <c r="A18" s="3" t="s">
        <v>12</v>
      </c>
      <c r="B18" s="3"/>
      <c r="C18" s="3"/>
      <c r="D18" s="3"/>
      <c r="E18" s="3"/>
      <c r="F18" s="3"/>
      <c r="G18" s="3"/>
      <c r="H18" s="3"/>
    </row>
    <row r="19" customFormat="false" ht="18.75" hidden="false" customHeight="true" outlineLevel="0" collapsed="false">
      <c r="A19" s="4" t="s">
        <v>13</v>
      </c>
      <c r="B19" s="4"/>
      <c r="C19" s="4"/>
      <c r="D19" s="4"/>
      <c r="E19" s="4"/>
      <c r="F19" s="4"/>
      <c r="G19" s="4"/>
      <c r="H19" s="4"/>
    </row>
  </sheetData>
  <mergeCells count="12">
    <mergeCell ref="A4:H4"/>
    <mergeCell ref="A5:H5"/>
    <mergeCell ref="A7:H7"/>
    <mergeCell ref="A8:H8"/>
    <mergeCell ref="A9:H9"/>
    <mergeCell ref="A10:H10"/>
    <mergeCell ref="A12:H12"/>
    <mergeCell ref="A13:H13"/>
    <mergeCell ref="A15:H15"/>
    <mergeCell ref="A16:H16"/>
    <mergeCell ref="A18:H18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5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35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15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</row>
    <row r="2" customFormat="false" ht="15" hidden="false" customHeight="false" outlineLevel="0" collapsed="false">
      <c r="A2" s="6" t="n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32</v>
      </c>
      <c r="K2" s="7" t="s">
        <v>35</v>
      </c>
      <c r="L2" s="6" t="n">
        <v>3212.11</v>
      </c>
      <c r="M2" s="7" t="s">
        <v>36</v>
      </c>
    </row>
    <row r="3" customFormat="false" ht="15" hidden="false" customHeight="false" outlineLevel="0" collapsed="false">
      <c r="A3" s="6" t="n">
        <v>2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42</v>
      </c>
      <c r="K3" s="8" t="s">
        <v>45</v>
      </c>
      <c r="L3" s="6" t="n">
        <v>3187.7</v>
      </c>
      <c r="M3" s="8" t="s">
        <v>46</v>
      </c>
    </row>
    <row r="4" customFormat="false" ht="15" hidden="false" customHeight="false" outlineLevel="0" collapsed="false">
      <c r="A4" s="6" t="n">
        <v>3</v>
      </c>
      <c r="B4" s="6" t="s">
        <v>47</v>
      </c>
      <c r="C4" s="6" t="s">
        <v>28</v>
      </c>
      <c r="D4" s="6" t="s">
        <v>48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32</v>
      </c>
      <c r="K4" s="7" t="s">
        <v>35</v>
      </c>
      <c r="L4" s="6" t="n">
        <v>3485.08</v>
      </c>
      <c r="M4" s="7" t="s">
        <v>36</v>
      </c>
    </row>
    <row r="5" customFormat="false" ht="15" hidden="false" customHeight="false" outlineLevel="0" collapsed="false">
      <c r="A5" s="6" t="n">
        <v>4</v>
      </c>
      <c r="B5" s="6" t="s">
        <v>49</v>
      </c>
      <c r="C5" s="6" t="s">
        <v>50</v>
      </c>
      <c r="D5" s="6" t="s">
        <v>51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  <c r="J5" s="6" t="s">
        <v>32</v>
      </c>
      <c r="K5" s="7" t="s">
        <v>35</v>
      </c>
      <c r="L5" s="6" t="n">
        <v>2263.81</v>
      </c>
      <c r="M5" s="7" t="s">
        <v>36</v>
      </c>
    </row>
    <row r="6" customFormat="false" ht="15" hidden="false" customHeight="false" outlineLevel="0" collapsed="false">
      <c r="A6" s="6" t="n">
        <v>5</v>
      </c>
      <c r="B6" s="6" t="s">
        <v>52</v>
      </c>
      <c r="C6" s="6" t="s">
        <v>28</v>
      </c>
      <c r="D6" s="6" t="s">
        <v>53</v>
      </c>
      <c r="E6" s="6" t="s">
        <v>54</v>
      </c>
      <c r="F6" s="6" t="s">
        <v>55</v>
      </c>
      <c r="G6" s="6" t="s">
        <v>56</v>
      </c>
      <c r="H6" s="6" t="s">
        <v>57</v>
      </c>
      <c r="I6" s="6" t="s">
        <v>58</v>
      </c>
      <c r="J6" s="6" t="s">
        <v>59</v>
      </c>
      <c r="K6" s="7" t="s">
        <v>35</v>
      </c>
      <c r="L6" s="6" t="n">
        <v>1410.53</v>
      </c>
      <c r="M6" s="7" t="s">
        <v>36</v>
      </c>
    </row>
    <row r="7" customFormat="false" ht="15" hidden="false" customHeight="false" outlineLevel="0" collapsed="false">
      <c r="A7" s="6" t="n">
        <v>6</v>
      </c>
      <c r="B7" s="6" t="s">
        <v>60</v>
      </c>
      <c r="C7" s="6" t="s">
        <v>38</v>
      </c>
      <c r="D7" s="6" t="s">
        <v>61</v>
      </c>
      <c r="E7" s="6" t="s">
        <v>62</v>
      </c>
      <c r="F7" s="6" t="s">
        <v>63</v>
      </c>
      <c r="G7" s="6" t="s">
        <v>64</v>
      </c>
      <c r="H7" s="6" t="s">
        <v>65</v>
      </c>
      <c r="I7" s="6" t="s">
        <v>66</v>
      </c>
      <c r="J7" s="6" t="s">
        <v>67</v>
      </c>
      <c r="K7" s="9" t="s">
        <v>68</v>
      </c>
      <c r="L7" s="6" t="n">
        <v>2671.94</v>
      </c>
      <c r="M7" s="9" t="s">
        <v>69</v>
      </c>
    </row>
    <row r="8" customFormat="false" ht="15" hidden="false" customHeight="false" outlineLevel="0" collapsed="false">
      <c r="A8" s="6" t="n">
        <v>7</v>
      </c>
      <c r="B8" s="6" t="s">
        <v>70</v>
      </c>
      <c r="C8" s="6" t="s">
        <v>38</v>
      </c>
      <c r="D8" s="6" t="s">
        <v>71</v>
      </c>
      <c r="E8" s="6" t="s">
        <v>72</v>
      </c>
      <c r="F8" s="6" t="s">
        <v>73</v>
      </c>
      <c r="G8" s="6" t="s">
        <v>64</v>
      </c>
      <c r="H8" s="6" t="s">
        <v>74</v>
      </c>
      <c r="I8" s="6" t="s">
        <v>75</v>
      </c>
      <c r="J8" s="6" t="s">
        <v>76</v>
      </c>
      <c r="K8" s="7" t="s">
        <v>35</v>
      </c>
      <c r="L8" s="6" t="n">
        <v>1694.17</v>
      </c>
      <c r="M8" s="7" t="s">
        <v>36</v>
      </c>
    </row>
    <row r="9" customFormat="false" ht="15" hidden="false" customHeight="false" outlineLevel="0" collapsed="false">
      <c r="A9" s="6" t="n">
        <v>8</v>
      </c>
      <c r="B9" s="6" t="s">
        <v>77</v>
      </c>
      <c r="C9" s="6" t="s">
        <v>78</v>
      </c>
      <c r="D9" s="6" t="s">
        <v>79</v>
      </c>
      <c r="E9" s="6" t="s">
        <v>80</v>
      </c>
      <c r="F9" s="6" t="s">
        <v>81</v>
      </c>
      <c r="G9" s="6" t="s">
        <v>82</v>
      </c>
      <c r="H9" s="6" t="s">
        <v>83</v>
      </c>
      <c r="I9" s="6" t="s">
        <v>84</v>
      </c>
      <c r="J9" s="6" t="s">
        <v>85</v>
      </c>
      <c r="K9" s="8" t="s">
        <v>45</v>
      </c>
      <c r="L9" s="6" t="n">
        <v>1427.75</v>
      </c>
      <c r="M9" s="8" t="s">
        <v>46</v>
      </c>
    </row>
    <row r="10" customFormat="false" ht="15" hidden="false" customHeight="false" outlineLevel="0" collapsed="false">
      <c r="A10" s="6" t="n">
        <v>9</v>
      </c>
      <c r="B10" s="6" t="s">
        <v>86</v>
      </c>
      <c r="C10" s="6" t="s">
        <v>28</v>
      </c>
      <c r="D10" s="6" t="s">
        <v>87</v>
      </c>
      <c r="E10" s="6" t="s">
        <v>88</v>
      </c>
      <c r="F10" s="6" t="s">
        <v>89</v>
      </c>
      <c r="G10" s="6" t="s">
        <v>90</v>
      </c>
      <c r="H10" s="6" t="s">
        <v>74</v>
      </c>
      <c r="I10" s="6" t="s">
        <v>75</v>
      </c>
      <c r="J10" s="6" t="s">
        <v>76</v>
      </c>
      <c r="K10" s="8" t="s">
        <v>91</v>
      </c>
      <c r="L10" s="6" t="n">
        <v>408.78</v>
      </c>
      <c r="M10" s="8" t="s">
        <v>46</v>
      </c>
    </row>
    <row r="11" customFormat="false" ht="15" hidden="false" customHeight="false" outlineLevel="0" collapsed="false">
      <c r="A11" s="6" t="n">
        <v>10</v>
      </c>
      <c r="B11" s="6" t="s">
        <v>92</v>
      </c>
      <c r="C11" s="6" t="s">
        <v>93</v>
      </c>
      <c r="D11" s="6" t="s">
        <v>94</v>
      </c>
      <c r="E11" s="6" t="s">
        <v>95</v>
      </c>
      <c r="F11" s="6" t="s">
        <v>96</v>
      </c>
      <c r="G11" s="6" t="s">
        <v>97</v>
      </c>
      <c r="H11" s="6" t="s">
        <v>98</v>
      </c>
      <c r="I11" s="6" t="s">
        <v>99</v>
      </c>
      <c r="J11" s="6" t="s">
        <v>100</v>
      </c>
      <c r="K11" s="9" t="s">
        <v>68</v>
      </c>
      <c r="L11" s="6" t="n">
        <v>2742.98</v>
      </c>
      <c r="M11" s="9" t="s">
        <v>69</v>
      </c>
    </row>
    <row r="12" customFormat="false" ht="15" hidden="false" customHeight="false" outlineLevel="0" collapsed="false">
      <c r="A12" s="6" t="n">
        <v>11</v>
      </c>
      <c r="B12" s="6" t="s">
        <v>101</v>
      </c>
      <c r="C12" s="6" t="s">
        <v>93</v>
      </c>
      <c r="D12" s="6" t="s">
        <v>102</v>
      </c>
      <c r="E12" s="6" t="s">
        <v>103</v>
      </c>
      <c r="F12" s="6" t="s">
        <v>104</v>
      </c>
      <c r="G12" s="6" t="s">
        <v>105</v>
      </c>
      <c r="H12" s="6" t="s">
        <v>106</v>
      </c>
      <c r="I12" s="6" t="s">
        <v>107</v>
      </c>
      <c r="J12" s="6" t="s">
        <v>90</v>
      </c>
      <c r="K12" s="8" t="s">
        <v>91</v>
      </c>
      <c r="L12" s="6" t="n">
        <v>2076.06</v>
      </c>
      <c r="M12" s="8" t="s">
        <v>46</v>
      </c>
    </row>
    <row r="13" customFormat="false" ht="15" hidden="false" customHeight="false" outlineLevel="0" collapsed="false">
      <c r="A13" s="6" t="n">
        <v>12</v>
      </c>
      <c r="B13" s="6" t="s">
        <v>108</v>
      </c>
      <c r="C13" s="6" t="s">
        <v>38</v>
      </c>
      <c r="D13" s="6" t="s">
        <v>109</v>
      </c>
      <c r="E13" s="6" t="s">
        <v>54</v>
      </c>
      <c r="F13" s="6" t="s">
        <v>55</v>
      </c>
      <c r="G13" s="6" t="s">
        <v>56</v>
      </c>
      <c r="H13" s="6" t="s">
        <v>74</v>
      </c>
      <c r="I13" s="6" t="s">
        <v>75</v>
      </c>
      <c r="J13" s="6" t="s">
        <v>76</v>
      </c>
      <c r="K13" s="8" t="s">
        <v>91</v>
      </c>
      <c r="L13" s="6" t="n">
        <v>3469.14</v>
      </c>
      <c r="M13" s="8" t="s">
        <v>46</v>
      </c>
    </row>
    <row r="14" customFormat="false" ht="15" hidden="false" customHeight="false" outlineLevel="0" collapsed="false">
      <c r="A14" s="6" t="n">
        <v>13</v>
      </c>
      <c r="B14" s="6" t="s">
        <v>110</v>
      </c>
      <c r="C14" s="6" t="s">
        <v>78</v>
      </c>
      <c r="D14" s="6" t="s">
        <v>111</v>
      </c>
      <c r="E14" s="6" t="s">
        <v>95</v>
      </c>
      <c r="F14" s="6" t="s">
        <v>96</v>
      </c>
      <c r="G14" s="6" t="s">
        <v>97</v>
      </c>
      <c r="H14" s="6" t="s">
        <v>112</v>
      </c>
      <c r="I14" s="6" t="s">
        <v>113</v>
      </c>
      <c r="J14" s="6" t="s">
        <v>100</v>
      </c>
      <c r="K14" s="7" t="s">
        <v>35</v>
      </c>
      <c r="L14" s="6" t="n">
        <v>3378.87</v>
      </c>
      <c r="M14" s="7" t="s">
        <v>36</v>
      </c>
    </row>
    <row r="15" customFormat="false" ht="15" hidden="false" customHeight="false" outlineLevel="0" collapsed="false">
      <c r="A15" s="6" t="n">
        <v>14</v>
      </c>
      <c r="B15" s="6" t="s">
        <v>114</v>
      </c>
      <c r="C15" s="6" t="s">
        <v>78</v>
      </c>
      <c r="D15" s="6" t="s">
        <v>115</v>
      </c>
      <c r="E15" s="6" t="s">
        <v>40</v>
      </c>
      <c r="F15" s="6" t="s">
        <v>41</v>
      </c>
      <c r="G15" s="6" t="s">
        <v>42</v>
      </c>
      <c r="H15" s="6" t="s">
        <v>116</v>
      </c>
      <c r="I15" s="6" t="s">
        <v>117</v>
      </c>
      <c r="J15" s="6" t="s">
        <v>85</v>
      </c>
      <c r="K15" s="8" t="s">
        <v>91</v>
      </c>
      <c r="L15" s="6" t="n">
        <v>2242.94</v>
      </c>
      <c r="M15" s="8" t="s">
        <v>46</v>
      </c>
    </row>
    <row r="16" customFormat="false" ht="15" hidden="false" customHeight="false" outlineLevel="0" collapsed="false">
      <c r="A16" s="6" t="n">
        <v>15</v>
      </c>
      <c r="B16" s="6" t="s">
        <v>118</v>
      </c>
      <c r="C16" s="6" t="s">
        <v>38</v>
      </c>
      <c r="D16" s="6" t="s">
        <v>119</v>
      </c>
      <c r="E16" s="6" t="s">
        <v>120</v>
      </c>
      <c r="F16" s="6" t="s">
        <v>121</v>
      </c>
      <c r="G16" s="6" t="s">
        <v>122</v>
      </c>
      <c r="H16" s="6" t="s">
        <v>98</v>
      </c>
      <c r="I16" s="6" t="s">
        <v>99</v>
      </c>
      <c r="J16" s="6" t="s">
        <v>100</v>
      </c>
      <c r="K16" s="8" t="s">
        <v>91</v>
      </c>
      <c r="L16" s="6" t="n">
        <v>1725.85</v>
      </c>
      <c r="M16" s="8" t="s">
        <v>46</v>
      </c>
    </row>
    <row r="17" customFormat="false" ht="15" hidden="false" customHeight="false" outlineLevel="0" collapsed="false">
      <c r="A17" s="6" t="n">
        <v>16</v>
      </c>
      <c r="B17" s="6" t="s">
        <v>123</v>
      </c>
      <c r="C17" s="6" t="s">
        <v>38</v>
      </c>
      <c r="D17" s="6" t="s">
        <v>124</v>
      </c>
      <c r="E17" s="6" t="s">
        <v>88</v>
      </c>
      <c r="F17" s="6" t="s">
        <v>89</v>
      </c>
      <c r="G17" s="6" t="s">
        <v>90</v>
      </c>
      <c r="H17" s="6" t="s">
        <v>106</v>
      </c>
      <c r="I17" s="6" t="s">
        <v>107</v>
      </c>
      <c r="J17" s="6" t="s">
        <v>90</v>
      </c>
      <c r="K17" s="8" t="s">
        <v>45</v>
      </c>
      <c r="L17" s="6" t="n">
        <v>2817.04</v>
      </c>
      <c r="M17" s="8" t="s">
        <v>46</v>
      </c>
    </row>
    <row r="18" customFormat="false" ht="15" hidden="false" customHeight="false" outlineLevel="0" collapsed="false">
      <c r="A18" s="6" t="n">
        <v>17</v>
      </c>
      <c r="B18" s="6" t="s">
        <v>125</v>
      </c>
      <c r="C18" s="6" t="s">
        <v>38</v>
      </c>
      <c r="D18" s="6" t="s">
        <v>126</v>
      </c>
      <c r="E18" s="6" t="s">
        <v>127</v>
      </c>
      <c r="F18" s="6" t="s">
        <v>128</v>
      </c>
      <c r="G18" s="6" t="s">
        <v>129</v>
      </c>
      <c r="H18" s="6" t="s">
        <v>57</v>
      </c>
      <c r="I18" s="6" t="s">
        <v>58</v>
      </c>
      <c r="J18" s="6" t="s">
        <v>59</v>
      </c>
      <c r="K18" s="7" t="s">
        <v>35</v>
      </c>
      <c r="L18" s="6" t="n">
        <v>1537.96</v>
      </c>
      <c r="M18" s="7" t="s">
        <v>36</v>
      </c>
    </row>
    <row r="19" customFormat="false" ht="15" hidden="false" customHeight="false" outlineLevel="0" collapsed="false">
      <c r="A19" s="6" t="n">
        <v>18</v>
      </c>
      <c r="B19" s="6" t="s">
        <v>130</v>
      </c>
      <c r="C19" s="6" t="s">
        <v>38</v>
      </c>
      <c r="D19" s="6" t="s">
        <v>131</v>
      </c>
      <c r="E19" s="6" t="s">
        <v>127</v>
      </c>
      <c r="F19" s="6" t="s">
        <v>128</v>
      </c>
      <c r="G19" s="6" t="s">
        <v>129</v>
      </c>
      <c r="H19" s="6" t="s">
        <v>132</v>
      </c>
      <c r="I19" s="6" t="s">
        <v>133</v>
      </c>
      <c r="J19" s="6" t="s">
        <v>134</v>
      </c>
      <c r="K19" s="7" t="s">
        <v>35</v>
      </c>
      <c r="L19" s="6" t="n">
        <v>1368.98</v>
      </c>
      <c r="M19" s="7" t="s">
        <v>36</v>
      </c>
    </row>
    <row r="20" customFormat="false" ht="15" hidden="false" customHeight="false" outlineLevel="0" collapsed="false">
      <c r="A20" s="6" t="n">
        <v>19</v>
      </c>
      <c r="B20" s="6" t="s">
        <v>135</v>
      </c>
      <c r="C20" s="6" t="s">
        <v>93</v>
      </c>
      <c r="D20" s="6" t="s">
        <v>136</v>
      </c>
      <c r="E20" s="6" t="s">
        <v>30</v>
      </c>
      <c r="F20" s="6" t="s">
        <v>31</v>
      </c>
      <c r="G20" s="6" t="s">
        <v>32</v>
      </c>
      <c r="H20" s="6" t="s">
        <v>33</v>
      </c>
      <c r="I20" s="6" t="s">
        <v>34</v>
      </c>
      <c r="J20" s="6" t="s">
        <v>32</v>
      </c>
      <c r="K20" s="7" t="s">
        <v>35</v>
      </c>
      <c r="L20" s="6" t="n">
        <v>883.13</v>
      </c>
      <c r="M20" s="7" t="s">
        <v>36</v>
      </c>
    </row>
    <row r="21" customFormat="false" ht="15" hidden="false" customHeight="false" outlineLevel="0" collapsed="false">
      <c r="A21" s="6" t="n">
        <v>20</v>
      </c>
      <c r="B21" s="6" t="s">
        <v>137</v>
      </c>
      <c r="C21" s="6" t="s">
        <v>38</v>
      </c>
      <c r="D21" s="6" t="s">
        <v>138</v>
      </c>
      <c r="E21" s="6" t="s">
        <v>139</v>
      </c>
      <c r="F21" s="6" t="s">
        <v>140</v>
      </c>
      <c r="G21" s="6" t="s">
        <v>141</v>
      </c>
      <c r="H21" s="6" t="s">
        <v>83</v>
      </c>
      <c r="I21" s="6" t="s">
        <v>84</v>
      </c>
      <c r="J21" s="6" t="s">
        <v>85</v>
      </c>
      <c r="K21" s="8" t="s">
        <v>45</v>
      </c>
      <c r="L21" s="6" t="n">
        <v>2129.19</v>
      </c>
      <c r="M21" s="8" t="s">
        <v>46</v>
      </c>
    </row>
    <row r="22" customFormat="false" ht="15" hidden="false" customHeight="false" outlineLevel="0" collapsed="false">
      <c r="A22" s="6" t="n">
        <v>21</v>
      </c>
      <c r="B22" s="6" t="s">
        <v>142</v>
      </c>
      <c r="C22" s="6" t="s">
        <v>50</v>
      </c>
      <c r="D22" s="6" t="s">
        <v>143</v>
      </c>
      <c r="E22" s="6" t="s">
        <v>95</v>
      </c>
      <c r="F22" s="6" t="s">
        <v>96</v>
      </c>
      <c r="G22" s="6" t="s">
        <v>97</v>
      </c>
      <c r="H22" s="6" t="s">
        <v>98</v>
      </c>
      <c r="I22" s="6" t="s">
        <v>99</v>
      </c>
      <c r="J22" s="6" t="s">
        <v>100</v>
      </c>
      <c r="K22" s="9" t="s">
        <v>68</v>
      </c>
      <c r="L22" s="6" t="n">
        <v>2165.85</v>
      </c>
      <c r="M22" s="9" t="s">
        <v>69</v>
      </c>
    </row>
    <row r="23" customFormat="false" ht="15" hidden="false" customHeight="false" outlineLevel="0" collapsed="false">
      <c r="A23" s="6" t="n">
        <v>22</v>
      </c>
      <c r="B23" s="6" t="s">
        <v>144</v>
      </c>
      <c r="C23" s="6" t="s">
        <v>93</v>
      </c>
      <c r="D23" s="6" t="s">
        <v>145</v>
      </c>
      <c r="E23" s="6" t="s">
        <v>139</v>
      </c>
      <c r="F23" s="6" t="s">
        <v>140</v>
      </c>
      <c r="G23" s="6" t="s">
        <v>141</v>
      </c>
      <c r="H23" s="6" t="s">
        <v>132</v>
      </c>
      <c r="I23" s="6" t="s">
        <v>133</v>
      </c>
      <c r="J23" s="6" t="s">
        <v>134</v>
      </c>
      <c r="K23" s="7" t="s">
        <v>35</v>
      </c>
      <c r="L23" s="6" t="n">
        <v>1308.67</v>
      </c>
      <c r="M23" s="7" t="s">
        <v>36</v>
      </c>
    </row>
    <row r="24" customFormat="false" ht="15" hidden="false" customHeight="false" outlineLevel="0" collapsed="false">
      <c r="A24" s="6" t="n">
        <v>23</v>
      </c>
      <c r="B24" s="6" t="s">
        <v>146</v>
      </c>
      <c r="C24" s="6" t="s">
        <v>50</v>
      </c>
      <c r="D24" s="6" t="s">
        <v>147</v>
      </c>
      <c r="E24" s="6" t="s">
        <v>80</v>
      </c>
      <c r="F24" s="6" t="s">
        <v>81</v>
      </c>
      <c r="G24" s="6" t="s">
        <v>82</v>
      </c>
      <c r="H24" s="6" t="s">
        <v>83</v>
      </c>
      <c r="I24" s="6" t="s">
        <v>84</v>
      </c>
      <c r="J24" s="6" t="s">
        <v>85</v>
      </c>
      <c r="K24" s="8" t="s">
        <v>45</v>
      </c>
      <c r="L24" s="6" t="n">
        <v>3054.38</v>
      </c>
      <c r="M24" s="8" t="s">
        <v>46</v>
      </c>
    </row>
    <row r="25" customFormat="false" ht="15" hidden="false" customHeight="false" outlineLevel="0" collapsed="false">
      <c r="A25" s="6" t="n">
        <v>24</v>
      </c>
      <c r="B25" s="6" t="s">
        <v>148</v>
      </c>
      <c r="C25" s="6" t="s">
        <v>78</v>
      </c>
      <c r="D25" s="6" t="s">
        <v>149</v>
      </c>
      <c r="E25" s="6" t="s">
        <v>54</v>
      </c>
      <c r="F25" s="6" t="s">
        <v>55</v>
      </c>
      <c r="G25" s="6" t="s">
        <v>56</v>
      </c>
      <c r="H25" s="6" t="s">
        <v>112</v>
      </c>
      <c r="I25" s="6" t="s">
        <v>113</v>
      </c>
      <c r="J25" s="6" t="s">
        <v>100</v>
      </c>
      <c r="K25" s="7" t="s">
        <v>35</v>
      </c>
      <c r="L25" s="6" t="n">
        <v>2198.93</v>
      </c>
      <c r="M25" s="7" t="s">
        <v>36</v>
      </c>
    </row>
    <row r="26" customFormat="false" ht="15" hidden="false" customHeight="false" outlineLevel="0" collapsed="false">
      <c r="A26" s="6" t="n">
        <v>25</v>
      </c>
      <c r="B26" s="6" t="s">
        <v>150</v>
      </c>
      <c r="C26" s="6" t="s">
        <v>50</v>
      </c>
      <c r="D26" s="6" t="s">
        <v>151</v>
      </c>
      <c r="E26" s="6" t="s">
        <v>30</v>
      </c>
      <c r="F26" s="6" t="s">
        <v>31</v>
      </c>
      <c r="G26" s="6" t="s">
        <v>32</v>
      </c>
      <c r="H26" s="6" t="s">
        <v>98</v>
      </c>
      <c r="I26" s="6" t="s">
        <v>99</v>
      </c>
      <c r="J26" s="6" t="s">
        <v>100</v>
      </c>
      <c r="K26" s="8" t="s">
        <v>91</v>
      </c>
      <c r="L26" s="6" t="n">
        <v>3282.29</v>
      </c>
      <c r="M26" s="8" t="s">
        <v>46</v>
      </c>
    </row>
    <row r="27" customFormat="false" ht="15" hidden="false" customHeight="false" outlineLevel="0" collapsed="false">
      <c r="A27" s="6" t="n">
        <v>26</v>
      </c>
      <c r="B27" s="6" t="s">
        <v>152</v>
      </c>
      <c r="C27" s="6" t="s">
        <v>153</v>
      </c>
      <c r="D27" s="6" t="s">
        <v>154</v>
      </c>
      <c r="E27" s="6" t="s">
        <v>72</v>
      </c>
      <c r="F27" s="6" t="s">
        <v>73</v>
      </c>
      <c r="G27" s="6" t="s">
        <v>64</v>
      </c>
      <c r="H27" s="6" t="s">
        <v>112</v>
      </c>
      <c r="I27" s="6" t="s">
        <v>113</v>
      </c>
      <c r="J27" s="6" t="s">
        <v>100</v>
      </c>
      <c r="K27" s="9" t="s">
        <v>68</v>
      </c>
      <c r="L27" s="6" t="n">
        <v>1953.37</v>
      </c>
      <c r="M27" s="9" t="s">
        <v>69</v>
      </c>
    </row>
    <row r="28" customFormat="false" ht="15" hidden="false" customHeight="false" outlineLevel="0" collapsed="false">
      <c r="A28" s="6" t="n">
        <v>27</v>
      </c>
      <c r="B28" s="6" t="s">
        <v>155</v>
      </c>
      <c r="C28" s="6" t="s">
        <v>153</v>
      </c>
      <c r="D28" s="6" t="s">
        <v>156</v>
      </c>
      <c r="E28" s="6" t="s">
        <v>80</v>
      </c>
      <c r="F28" s="6" t="s">
        <v>81</v>
      </c>
      <c r="G28" s="6" t="s">
        <v>82</v>
      </c>
      <c r="H28" s="6" t="s">
        <v>116</v>
      </c>
      <c r="I28" s="6" t="s">
        <v>117</v>
      </c>
      <c r="J28" s="6" t="s">
        <v>85</v>
      </c>
      <c r="K28" s="7" t="s">
        <v>35</v>
      </c>
      <c r="L28" s="6" t="n">
        <v>143.68</v>
      </c>
      <c r="M28" s="7" t="s">
        <v>36</v>
      </c>
    </row>
    <row r="29" customFormat="false" ht="15" hidden="false" customHeight="false" outlineLevel="0" collapsed="false">
      <c r="A29" s="6" t="n">
        <v>28</v>
      </c>
      <c r="B29" s="6" t="s">
        <v>157</v>
      </c>
      <c r="C29" s="6" t="s">
        <v>28</v>
      </c>
      <c r="D29" s="6" t="s">
        <v>158</v>
      </c>
      <c r="E29" s="6" t="s">
        <v>54</v>
      </c>
      <c r="F29" s="6" t="s">
        <v>55</v>
      </c>
      <c r="G29" s="6" t="s">
        <v>56</v>
      </c>
      <c r="H29" s="6" t="s">
        <v>57</v>
      </c>
      <c r="I29" s="6" t="s">
        <v>58</v>
      </c>
      <c r="J29" s="6" t="s">
        <v>59</v>
      </c>
      <c r="K29" s="7" t="s">
        <v>35</v>
      </c>
      <c r="L29" s="6" t="n">
        <v>2244.85</v>
      </c>
      <c r="M29" s="7" t="s">
        <v>36</v>
      </c>
    </row>
    <row r="30" customFormat="false" ht="15" hidden="false" customHeight="false" outlineLevel="0" collapsed="false">
      <c r="A30" s="6" t="n">
        <v>29</v>
      </c>
      <c r="B30" s="6" t="s">
        <v>159</v>
      </c>
      <c r="C30" s="6" t="s">
        <v>78</v>
      </c>
      <c r="D30" s="6" t="s">
        <v>160</v>
      </c>
      <c r="E30" s="6" t="s">
        <v>80</v>
      </c>
      <c r="F30" s="6" t="s">
        <v>81</v>
      </c>
      <c r="G30" s="6" t="s">
        <v>82</v>
      </c>
      <c r="H30" s="6" t="s">
        <v>161</v>
      </c>
      <c r="I30" s="6" t="s">
        <v>162</v>
      </c>
      <c r="J30" s="6" t="s">
        <v>163</v>
      </c>
      <c r="K30" s="7" t="s">
        <v>35</v>
      </c>
      <c r="L30" s="6" t="n">
        <v>2160.36</v>
      </c>
      <c r="M30" s="7" t="s">
        <v>36</v>
      </c>
    </row>
    <row r="31" customFormat="false" ht="15" hidden="false" customHeight="false" outlineLevel="0" collapsed="false">
      <c r="A31" s="6" t="n">
        <v>30</v>
      </c>
      <c r="B31" s="6" t="s">
        <v>164</v>
      </c>
      <c r="C31" s="6" t="s">
        <v>38</v>
      </c>
      <c r="D31" s="6" t="s">
        <v>165</v>
      </c>
      <c r="E31" s="6" t="s">
        <v>88</v>
      </c>
      <c r="F31" s="6" t="s">
        <v>89</v>
      </c>
      <c r="G31" s="6" t="s">
        <v>90</v>
      </c>
      <c r="H31" s="6" t="s">
        <v>106</v>
      </c>
      <c r="I31" s="6" t="s">
        <v>107</v>
      </c>
      <c r="J31" s="6" t="s">
        <v>90</v>
      </c>
      <c r="K31" s="8" t="s">
        <v>45</v>
      </c>
      <c r="L31" s="6" t="n">
        <v>3345.33</v>
      </c>
      <c r="M31" s="8" t="s">
        <v>46</v>
      </c>
    </row>
    <row r="32" customFormat="false" ht="15" hidden="false" customHeight="false" outlineLevel="0" collapsed="false">
      <c r="A32" s="6" t="n">
        <v>31</v>
      </c>
      <c r="B32" s="6" t="s">
        <v>166</v>
      </c>
      <c r="C32" s="6" t="s">
        <v>93</v>
      </c>
      <c r="D32" s="6" t="s">
        <v>167</v>
      </c>
      <c r="E32" s="6" t="s">
        <v>80</v>
      </c>
      <c r="F32" s="6" t="s">
        <v>81</v>
      </c>
      <c r="G32" s="6" t="s">
        <v>82</v>
      </c>
      <c r="H32" s="6" t="s">
        <v>161</v>
      </c>
      <c r="I32" s="6" t="s">
        <v>162</v>
      </c>
      <c r="J32" s="6" t="s">
        <v>163</v>
      </c>
      <c r="K32" s="7" t="s">
        <v>35</v>
      </c>
      <c r="L32" s="6" t="n">
        <v>1097.83</v>
      </c>
      <c r="M32" s="7" t="s">
        <v>36</v>
      </c>
    </row>
    <row r="33" customFormat="false" ht="15" hidden="false" customHeight="false" outlineLevel="0" collapsed="false">
      <c r="A33" s="6" t="n">
        <v>32</v>
      </c>
      <c r="B33" s="6" t="s">
        <v>168</v>
      </c>
      <c r="C33" s="6" t="s">
        <v>93</v>
      </c>
      <c r="D33" s="6" t="s">
        <v>169</v>
      </c>
      <c r="E33" s="6" t="s">
        <v>95</v>
      </c>
      <c r="F33" s="6" t="s">
        <v>96</v>
      </c>
      <c r="G33" s="6" t="s">
        <v>97</v>
      </c>
      <c r="H33" s="6" t="s">
        <v>112</v>
      </c>
      <c r="I33" s="6" t="s">
        <v>113</v>
      </c>
      <c r="J33" s="6" t="s">
        <v>100</v>
      </c>
      <c r="K33" s="7" t="s">
        <v>35</v>
      </c>
      <c r="L33" s="6" t="n">
        <v>1145.9</v>
      </c>
      <c r="M33" s="7" t="s">
        <v>36</v>
      </c>
    </row>
    <row r="34" customFormat="false" ht="15" hidden="false" customHeight="false" outlineLevel="0" collapsed="false">
      <c r="A34" s="6" t="n">
        <v>33</v>
      </c>
      <c r="B34" s="6" t="s">
        <v>170</v>
      </c>
      <c r="C34" s="6" t="s">
        <v>93</v>
      </c>
      <c r="D34" s="6" t="s">
        <v>171</v>
      </c>
      <c r="E34" s="6" t="s">
        <v>54</v>
      </c>
      <c r="F34" s="6" t="s">
        <v>55</v>
      </c>
      <c r="G34" s="6" t="s">
        <v>56</v>
      </c>
      <c r="H34" s="6" t="s">
        <v>112</v>
      </c>
      <c r="I34" s="6" t="s">
        <v>113</v>
      </c>
      <c r="J34" s="6" t="s">
        <v>100</v>
      </c>
      <c r="K34" s="7" t="s">
        <v>35</v>
      </c>
      <c r="L34" s="6" t="n">
        <v>2771.51</v>
      </c>
      <c r="M34" s="7" t="s">
        <v>36</v>
      </c>
    </row>
    <row r="35" customFormat="false" ht="15" hidden="false" customHeight="false" outlineLevel="0" collapsed="false">
      <c r="A35" s="6" t="n">
        <v>34</v>
      </c>
      <c r="B35" s="6" t="s">
        <v>172</v>
      </c>
      <c r="C35" s="6" t="s">
        <v>153</v>
      </c>
      <c r="D35" s="6" t="s">
        <v>173</v>
      </c>
      <c r="E35" s="6" t="s">
        <v>139</v>
      </c>
      <c r="F35" s="6" t="s">
        <v>140</v>
      </c>
      <c r="G35" s="6" t="s">
        <v>141</v>
      </c>
      <c r="H35" s="6" t="s">
        <v>83</v>
      </c>
      <c r="I35" s="6" t="s">
        <v>84</v>
      </c>
      <c r="J35" s="6" t="s">
        <v>85</v>
      </c>
      <c r="K35" s="8" t="s">
        <v>45</v>
      </c>
      <c r="L35" s="6" t="n">
        <v>1136.81</v>
      </c>
      <c r="M35" s="8" t="s">
        <v>46</v>
      </c>
    </row>
    <row r="36" customFormat="false" ht="15" hidden="false" customHeight="false" outlineLevel="0" collapsed="false">
      <c r="A36" s="6" t="n">
        <v>35</v>
      </c>
      <c r="B36" s="6" t="s">
        <v>174</v>
      </c>
      <c r="C36" s="6" t="s">
        <v>28</v>
      </c>
      <c r="D36" s="6" t="s">
        <v>175</v>
      </c>
      <c r="E36" s="6" t="s">
        <v>72</v>
      </c>
      <c r="F36" s="6" t="s">
        <v>73</v>
      </c>
      <c r="G36" s="6" t="s">
        <v>64</v>
      </c>
      <c r="H36" s="6" t="s">
        <v>112</v>
      </c>
      <c r="I36" s="6" t="s">
        <v>113</v>
      </c>
      <c r="J36" s="6" t="s">
        <v>100</v>
      </c>
      <c r="K36" s="9" t="s">
        <v>68</v>
      </c>
      <c r="L36" s="6" t="n">
        <v>716.83</v>
      </c>
      <c r="M36" s="9" t="s">
        <v>69</v>
      </c>
    </row>
    <row r="37" customFormat="false" ht="15" hidden="false" customHeight="false" outlineLevel="0" collapsed="false">
      <c r="A37" s="6" t="n">
        <v>36</v>
      </c>
      <c r="B37" s="6" t="s">
        <v>176</v>
      </c>
      <c r="C37" s="6" t="s">
        <v>38</v>
      </c>
      <c r="D37" s="6" t="s">
        <v>177</v>
      </c>
      <c r="E37" s="6" t="s">
        <v>62</v>
      </c>
      <c r="F37" s="6" t="s">
        <v>63</v>
      </c>
      <c r="G37" s="6" t="s">
        <v>64</v>
      </c>
      <c r="H37" s="6" t="s">
        <v>98</v>
      </c>
      <c r="I37" s="6" t="s">
        <v>99</v>
      </c>
      <c r="J37" s="6" t="s">
        <v>100</v>
      </c>
      <c r="K37" s="9" t="s">
        <v>68</v>
      </c>
      <c r="L37" s="6" t="n">
        <v>2132.48</v>
      </c>
      <c r="M37" s="9" t="s">
        <v>69</v>
      </c>
    </row>
    <row r="38" customFormat="false" ht="15" hidden="false" customHeight="false" outlineLevel="0" collapsed="false">
      <c r="A38" s="6" t="n">
        <v>37</v>
      </c>
      <c r="B38" s="6" t="s">
        <v>178</v>
      </c>
      <c r="C38" s="6" t="s">
        <v>28</v>
      </c>
      <c r="D38" s="6" t="s">
        <v>179</v>
      </c>
      <c r="E38" s="6" t="s">
        <v>54</v>
      </c>
      <c r="F38" s="6" t="s">
        <v>55</v>
      </c>
      <c r="G38" s="6" t="s">
        <v>56</v>
      </c>
      <c r="H38" s="6" t="s">
        <v>161</v>
      </c>
      <c r="I38" s="6" t="s">
        <v>162</v>
      </c>
      <c r="J38" s="6" t="s">
        <v>163</v>
      </c>
      <c r="K38" s="8" t="s">
        <v>91</v>
      </c>
      <c r="L38" s="6" t="n">
        <v>2848.45</v>
      </c>
      <c r="M38" s="8" t="s">
        <v>46</v>
      </c>
    </row>
    <row r="39" customFormat="false" ht="15" hidden="false" customHeight="false" outlineLevel="0" collapsed="false">
      <c r="A39" s="6" t="n">
        <v>38</v>
      </c>
      <c r="B39" s="6" t="s">
        <v>180</v>
      </c>
      <c r="C39" s="6" t="s">
        <v>28</v>
      </c>
      <c r="D39" s="6" t="s">
        <v>181</v>
      </c>
      <c r="E39" s="6" t="s">
        <v>62</v>
      </c>
      <c r="F39" s="6" t="s">
        <v>63</v>
      </c>
      <c r="G39" s="6" t="s">
        <v>64</v>
      </c>
      <c r="H39" s="6" t="s">
        <v>182</v>
      </c>
      <c r="I39" s="6" t="s">
        <v>183</v>
      </c>
      <c r="J39" s="6" t="s">
        <v>90</v>
      </c>
      <c r="K39" s="8" t="s">
        <v>91</v>
      </c>
      <c r="L39" s="6" t="n">
        <v>1001.8</v>
      </c>
      <c r="M39" s="8" t="s">
        <v>46</v>
      </c>
    </row>
    <row r="40" customFormat="false" ht="15" hidden="false" customHeight="false" outlineLevel="0" collapsed="false">
      <c r="A40" s="6" t="n">
        <v>39</v>
      </c>
      <c r="B40" s="6" t="s">
        <v>184</v>
      </c>
      <c r="C40" s="6" t="s">
        <v>28</v>
      </c>
      <c r="D40" s="6" t="s">
        <v>156</v>
      </c>
      <c r="E40" s="6" t="s">
        <v>139</v>
      </c>
      <c r="F40" s="6" t="s">
        <v>140</v>
      </c>
      <c r="G40" s="6" t="s">
        <v>141</v>
      </c>
      <c r="H40" s="6" t="s">
        <v>185</v>
      </c>
      <c r="I40" s="6" t="s">
        <v>186</v>
      </c>
      <c r="J40" s="6" t="s">
        <v>105</v>
      </c>
      <c r="K40" s="8" t="s">
        <v>91</v>
      </c>
      <c r="L40" s="6" t="n">
        <v>2838.21</v>
      </c>
      <c r="M40" s="8" t="s">
        <v>46</v>
      </c>
    </row>
    <row r="41" customFormat="false" ht="15" hidden="false" customHeight="false" outlineLevel="0" collapsed="false">
      <c r="A41" s="6" t="n">
        <v>40</v>
      </c>
      <c r="B41" s="6" t="s">
        <v>187</v>
      </c>
      <c r="C41" s="6" t="s">
        <v>93</v>
      </c>
      <c r="D41" s="6" t="s">
        <v>188</v>
      </c>
      <c r="E41" s="6" t="s">
        <v>95</v>
      </c>
      <c r="F41" s="6" t="s">
        <v>96</v>
      </c>
      <c r="G41" s="6" t="s">
        <v>97</v>
      </c>
      <c r="H41" s="6" t="s">
        <v>161</v>
      </c>
      <c r="I41" s="6" t="s">
        <v>162</v>
      </c>
      <c r="J41" s="6" t="s">
        <v>163</v>
      </c>
      <c r="K41" s="8" t="s">
        <v>91</v>
      </c>
      <c r="L41" s="6" t="n">
        <v>2839.75</v>
      </c>
      <c r="M41" s="8" t="s">
        <v>46</v>
      </c>
    </row>
    <row r="42" customFormat="false" ht="15" hidden="false" customHeight="false" outlineLevel="0" collapsed="false">
      <c r="A42" s="6" t="n">
        <v>41</v>
      </c>
      <c r="B42" s="6" t="s">
        <v>189</v>
      </c>
      <c r="C42" s="6" t="s">
        <v>93</v>
      </c>
      <c r="D42" s="6" t="s">
        <v>190</v>
      </c>
      <c r="E42" s="6" t="s">
        <v>54</v>
      </c>
      <c r="F42" s="6" t="s">
        <v>55</v>
      </c>
      <c r="G42" s="6" t="s">
        <v>56</v>
      </c>
      <c r="H42" s="6" t="s">
        <v>112</v>
      </c>
      <c r="I42" s="6" t="s">
        <v>113</v>
      </c>
      <c r="J42" s="6" t="s">
        <v>100</v>
      </c>
      <c r="K42" s="7" t="s">
        <v>35</v>
      </c>
      <c r="L42" s="6" t="n">
        <v>1517.86</v>
      </c>
      <c r="M42" s="7" t="s">
        <v>36</v>
      </c>
    </row>
    <row r="43" customFormat="false" ht="15" hidden="false" customHeight="false" outlineLevel="0" collapsed="false">
      <c r="A43" s="6" t="n">
        <v>42</v>
      </c>
      <c r="B43" s="6" t="s">
        <v>191</v>
      </c>
      <c r="C43" s="6" t="s">
        <v>50</v>
      </c>
      <c r="D43" s="6" t="s">
        <v>192</v>
      </c>
      <c r="E43" s="6" t="s">
        <v>72</v>
      </c>
      <c r="F43" s="6" t="s">
        <v>73</v>
      </c>
      <c r="G43" s="6" t="s">
        <v>64</v>
      </c>
      <c r="H43" s="6" t="s">
        <v>112</v>
      </c>
      <c r="I43" s="6" t="s">
        <v>113</v>
      </c>
      <c r="J43" s="6" t="s">
        <v>100</v>
      </c>
      <c r="K43" s="9" t="s">
        <v>68</v>
      </c>
      <c r="L43" s="6" t="n">
        <v>2247.06</v>
      </c>
      <c r="M43" s="9" t="s">
        <v>69</v>
      </c>
    </row>
    <row r="44" customFormat="false" ht="15" hidden="false" customHeight="false" outlineLevel="0" collapsed="false">
      <c r="A44" s="6" t="n">
        <v>43</v>
      </c>
      <c r="B44" s="6" t="s">
        <v>193</v>
      </c>
      <c r="C44" s="6" t="s">
        <v>50</v>
      </c>
      <c r="D44" s="6" t="s">
        <v>194</v>
      </c>
      <c r="E44" s="6" t="s">
        <v>40</v>
      </c>
      <c r="F44" s="6" t="s">
        <v>41</v>
      </c>
      <c r="G44" s="6" t="s">
        <v>42</v>
      </c>
      <c r="H44" s="6" t="s">
        <v>43</v>
      </c>
      <c r="I44" s="6" t="s">
        <v>44</v>
      </c>
      <c r="J44" s="6" t="s">
        <v>42</v>
      </c>
      <c r="K44" s="8" t="s">
        <v>45</v>
      </c>
      <c r="L44" s="6" t="n">
        <v>3228.1</v>
      </c>
      <c r="M44" s="8" t="s">
        <v>46</v>
      </c>
    </row>
    <row r="45" customFormat="false" ht="15" hidden="false" customHeight="false" outlineLevel="0" collapsed="false">
      <c r="A45" s="6" t="n">
        <v>44</v>
      </c>
      <c r="B45" s="6" t="s">
        <v>195</v>
      </c>
      <c r="C45" s="6" t="s">
        <v>50</v>
      </c>
      <c r="D45" s="6" t="s">
        <v>196</v>
      </c>
      <c r="E45" s="6" t="s">
        <v>139</v>
      </c>
      <c r="F45" s="6" t="s">
        <v>140</v>
      </c>
      <c r="G45" s="6" t="s">
        <v>141</v>
      </c>
      <c r="H45" s="6" t="s">
        <v>83</v>
      </c>
      <c r="I45" s="6" t="s">
        <v>84</v>
      </c>
      <c r="J45" s="6" t="s">
        <v>85</v>
      </c>
      <c r="K45" s="8" t="s">
        <v>45</v>
      </c>
      <c r="L45" s="6" t="n">
        <v>1562.66</v>
      </c>
      <c r="M45" s="8" t="s">
        <v>46</v>
      </c>
    </row>
    <row r="46" customFormat="false" ht="15" hidden="false" customHeight="false" outlineLevel="0" collapsed="false">
      <c r="A46" s="6" t="n">
        <v>45</v>
      </c>
      <c r="B46" s="6" t="s">
        <v>197</v>
      </c>
      <c r="C46" s="6" t="s">
        <v>50</v>
      </c>
      <c r="D46" s="6" t="s">
        <v>198</v>
      </c>
      <c r="E46" s="6" t="s">
        <v>139</v>
      </c>
      <c r="F46" s="6" t="s">
        <v>140</v>
      </c>
      <c r="G46" s="6" t="s">
        <v>141</v>
      </c>
      <c r="H46" s="6" t="s">
        <v>43</v>
      </c>
      <c r="I46" s="6" t="s">
        <v>44</v>
      </c>
      <c r="J46" s="6" t="s">
        <v>42</v>
      </c>
      <c r="K46" s="8" t="s">
        <v>91</v>
      </c>
      <c r="L46" s="6" t="n">
        <v>3374.53</v>
      </c>
      <c r="M46" s="8" t="s">
        <v>46</v>
      </c>
    </row>
    <row r="47" customFormat="false" ht="15" hidden="false" customHeight="false" outlineLevel="0" collapsed="false">
      <c r="A47" s="6" t="n">
        <v>46</v>
      </c>
      <c r="B47" s="6" t="s">
        <v>199</v>
      </c>
      <c r="C47" s="6" t="s">
        <v>38</v>
      </c>
      <c r="D47" s="6" t="s">
        <v>200</v>
      </c>
      <c r="E47" s="6" t="s">
        <v>95</v>
      </c>
      <c r="F47" s="6" t="s">
        <v>96</v>
      </c>
      <c r="G47" s="6" t="s">
        <v>97</v>
      </c>
      <c r="H47" s="6" t="s">
        <v>132</v>
      </c>
      <c r="I47" s="6" t="s">
        <v>133</v>
      </c>
      <c r="J47" s="6" t="s">
        <v>134</v>
      </c>
      <c r="K47" s="7" t="s">
        <v>35</v>
      </c>
      <c r="L47" s="6" t="n">
        <v>485.99</v>
      </c>
      <c r="M47" s="7" t="s">
        <v>36</v>
      </c>
    </row>
    <row r="48" customFormat="false" ht="15" hidden="false" customHeight="false" outlineLevel="0" collapsed="false">
      <c r="A48" s="6" t="n">
        <v>47</v>
      </c>
      <c r="B48" s="6" t="s">
        <v>201</v>
      </c>
      <c r="C48" s="6" t="s">
        <v>78</v>
      </c>
      <c r="D48" s="6" t="s">
        <v>202</v>
      </c>
      <c r="E48" s="6" t="s">
        <v>139</v>
      </c>
      <c r="F48" s="6" t="s">
        <v>140</v>
      </c>
      <c r="G48" s="6" t="s">
        <v>141</v>
      </c>
      <c r="H48" s="6" t="s">
        <v>132</v>
      </c>
      <c r="I48" s="6" t="s">
        <v>133</v>
      </c>
      <c r="J48" s="6" t="s">
        <v>134</v>
      </c>
      <c r="K48" s="7" t="s">
        <v>35</v>
      </c>
      <c r="L48" s="6" t="n">
        <v>3239.2</v>
      </c>
      <c r="M48" s="7" t="s">
        <v>36</v>
      </c>
    </row>
    <row r="49" customFormat="false" ht="15" hidden="false" customHeight="false" outlineLevel="0" collapsed="false">
      <c r="A49" s="6" t="n">
        <v>48</v>
      </c>
      <c r="B49" s="6" t="s">
        <v>203</v>
      </c>
      <c r="C49" s="6" t="s">
        <v>38</v>
      </c>
      <c r="D49" s="6" t="s">
        <v>39</v>
      </c>
      <c r="E49" s="6" t="s">
        <v>103</v>
      </c>
      <c r="F49" s="6" t="s">
        <v>104</v>
      </c>
      <c r="G49" s="6" t="s">
        <v>105</v>
      </c>
      <c r="H49" s="6" t="s">
        <v>106</v>
      </c>
      <c r="I49" s="6" t="s">
        <v>107</v>
      </c>
      <c r="J49" s="6" t="s">
        <v>90</v>
      </c>
      <c r="K49" s="8" t="s">
        <v>91</v>
      </c>
      <c r="L49" s="6" t="n">
        <v>1722.59</v>
      </c>
      <c r="M49" s="8" t="s">
        <v>46</v>
      </c>
    </row>
    <row r="50" customFormat="false" ht="15" hidden="false" customHeight="false" outlineLevel="0" collapsed="false">
      <c r="A50" s="6" t="n">
        <v>49</v>
      </c>
      <c r="B50" s="6" t="s">
        <v>204</v>
      </c>
      <c r="C50" s="6" t="s">
        <v>93</v>
      </c>
      <c r="D50" s="6" t="s">
        <v>205</v>
      </c>
      <c r="E50" s="6" t="s">
        <v>88</v>
      </c>
      <c r="F50" s="6" t="s">
        <v>89</v>
      </c>
      <c r="G50" s="6" t="s">
        <v>90</v>
      </c>
      <c r="H50" s="6" t="s">
        <v>182</v>
      </c>
      <c r="I50" s="6" t="s">
        <v>183</v>
      </c>
      <c r="J50" s="6" t="s">
        <v>90</v>
      </c>
      <c r="K50" s="7" t="s">
        <v>35</v>
      </c>
      <c r="L50" s="6" t="n">
        <v>2345.42</v>
      </c>
      <c r="M50" s="7" t="s">
        <v>36</v>
      </c>
    </row>
    <row r="51" customFormat="false" ht="15" hidden="false" customHeight="false" outlineLevel="0" collapsed="false">
      <c r="A51" s="6" t="n">
        <v>50</v>
      </c>
      <c r="B51" s="6" t="s">
        <v>206</v>
      </c>
      <c r="C51" s="6" t="s">
        <v>38</v>
      </c>
      <c r="D51" s="6" t="s">
        <v>207</v>
      </c>
      <c r="E51" s="6" t="s">
        <v>80</v>
      </c>
      <c r="F51" s="6" t="s">
        <v>81</v>
      </c>
      <c r="G51" s="6" t="s">
        <v>82</v>
      </c>
      <c r="H51" s="6" t="s">
        <v>116</v>
      </c>
      <c r="I51" s="6" t="s">
        <v>117</v>
      </c>
      <c r="J51" s="6" t="s">
        <v>85</v>
      </c>
      <c r="K51" s="7" t="s">
        <v>35</v>
      </c>
      <c r="L51" s="6" t="n">
        <v>1244.13</v>
      </c>
      <c r="M51" s="7" t="s">
        <v>36</v>
      </c>
    </row>
    <row r="52" customFormat="false" ht="15" hidden="false" customHeight="false" outlineLevel="0" collapsed="false">
      <c r="A52" s="6" t="n">
        <v>51</v>
      </c>
      <c r="B52" s="6" t="s">
        <v>208</v>
      </c>
      <c r="C52" s="6" t="s">
        <v>50</v>
      </c>
      <c r="D52" s="6" t="s">
        <v>165</v>
      </c>
      <c r="E52" s="6" t="s">
        <v>30</v>
      </c>
      <c r="F52" s="6" t="s">
        <v>31</v>
      </c>
      <c r="G52" s="6" t="s">
        <v>32</v>
      </c>
      <c r="H52" s="6" t="s">
        <v>33</v>
      </c>
      <c r="I52" s="6" t="s">
        <v>34</v>
      </c>
      <c r="J52" s="6" t="s">
        <v>32</v>
      </c>
      <c r="K52" s="7" t="s">
        <v>35</v>
      </c>
      <c r="L52" s="6" t="n">
        <v>1280.06</v>
      </c>
      <c r="M52" s="7" t="s">
        <v>36</v>
      </c>
    </row>
    <row r="53" customFormat="false" ht="15" hidden="false" customHeight="false" outlineLevel="0" collapsed="false">
      <c r="A53" s="6" t="n">
        <v>52</v>
      </c>
      <c r="B53" s="6" t="s">
        <v>209</v>
      </c>
      <c r="C53" s="6" t="s">
        <v>38</v>
      </c>
      <c r="D53" s="6" t="s">
        <v>210</v>
      </c>
      <c r="E53" s="6" t="s">
        <v>30</v>
      </c>
      <c r="F53" s="6" t="s">
        <v>31</v>
      </c>
      <c r="G53" s="6" t="s">
        <v>32</v>
      </c>
      <c r="H53" s="6" t="s">
        <v>33</v>
      </c>
      <c r="I53" s="6" t="s">
        <v>34</v>
      </c>
      <c r="J53" s="6" t="s">
        <v>32</v>
      </c>
      <c r="K53" s="7" t="s">
        <v>35</v>
      </c>
      <c r="L53" s="6" t="n">
        <v>895.14</v>
      </c>
      <c r="M53" s="7" t="s">
        <v>36</v>
      </c>
    </row>
    <row r="54" customFormat="false" ht="15" hidden="false" customHeight="false" outlineLevel="0" collapsed="false">
      <c r="A54" s="6" t="n">
        <v>53</v>
      </c>
      <c r="B54" s="6" t="s">
        <v>211</v>
      </c>
      <c r="C54" s="6" t="s">
        <v>38</v>
      </c>
      <c r="D54" s="6" t="s">
        <v>212</v>
      </c>
      <c r="E54" s="6" t="s">
        <v>127</v>
      </c>
      <c r="F54" s="6" t="s">
        <v>128</v>
      </c>
      <c r="G54" s="6" t="s">
        <v>129</v>
      </c>
      <c r="H54" s="6" t="s">
        <v>57</v>
      </c>
      <c r="I54" s="6" t="s">
        <v>58</v>
      </c>
      <c r="J54" s="6" t="s">
        <v>59</v>
      </c>
      <c r="K54" s="7" t="s">
        <v>35</v>
      </c>
      <c r="L54" s="6" t="n">
        <v>2227.98</v>
      </c>
      <c r="M54" s="7" t="s">
        <v>36</v>
      </c>
    </row>
    <row r="55" customFormat="false" ht="15" hidden="false" customHeight="false" outlineLevel="0" collapsed="false">
      <c r="A55" s="6" t="n">
        <v>54</v>
      </c>
      <c r="B55" s="6" t="s">
        <v>213</v>
      </c>
      <c r="C55" s="6" t="s">
        <v>93</v>
      </c>
      <c r="D55" s="6" t="s">
        <v>214</v>
      </c>
      <c r="E55" s="6" t="s">
        <v>139</v>
      </c>
      <c r="F55" s="6" t="s">
        <v>140</v>
      </c>
      <c r="G55" s="6" t="s">
        <v>141</v>
      </c>
      <c r="H55" s="6" t="s">
        <v>33</v>
      </c>
      <c r="I55" s="6" t="s">
        <v>34</v>
      </c>
      <c r="J55" s="6" t="s">
        <v>32</v>
      </c>
      <c r="K55" s="8" t="s">
        <v>91</v>
      </c>
      <c r="L55" s="6" t="n">
        <v>994.91</v>
      </c>
      <c r="M55" s="8" t="s">
        <v>46</v>
      </c>
    </row>
    <row r="56" customFormat="false" ht="15" hidden="false" customHeight="false" outlineLevel="0" collapsed="false">
      <c r="A56" s="6" t="n">
        <v>55</v>
      </c>
      <c r="B56" s="6" t="s">
        <v>215</v>
      </c>
      <c r="C56" s="6" t="s">
        <v>38</v>
      </c>
      <c r="D56" s="6" t="s">
        <v>216</v>
      </c>
      <c r="E56" s="6" t="s">
        <v>80</v>
      </c>
      <c r="F56" s="6" t="s">
        <v>81</v>
      </c>
      <c r="G56" s="6" t="s">
        <v>82</v>
      </c>
      <c r="H56" s="6" t="s">
        <v>116</v>
      </c>
      <c r="I56" s="6" t="s">
        <v>117</v>
      </c>
      <c r="J56" s="6" t="s">
        <v>85</v>
      </c>
      <c r="K56" s="7" t="s">
        <v>35</v>
      </c>
      <c r="L56" s="6" t="n">
        <v>1181.67</v>
      </c>
      <c r="M56" s="7" t="s">
        <v>36</v>
      </c>
    </row>
    <row r="57" customFormat="false" ht="15" hidden="false" customHeight="false" outlineLevel="0" collapsed="false">
      <c r="A57" s="6" t="n">
        <v>56</v>
      </c>
      <c r="B57" s="6" t="s">
        <v>217</v>
      </c>
      <c r="C57" s="6" t="s">
        <v>28</v>
      </c>
      <c r="D57" s="6" t="s">
        <v>218</v>
      </c>
      <c r="E57" s="6" t="s">
        <v>139</v>
      </c>
      <c r="F57" s="6" t="s">
        <v>140</v>
      </c>
      <c r="G57" s="6" t="s">
        <v>141</v>
      </c>
      <c r="H57" s="6" t="s">
        <v>33</v>
      </c>
      <c r="I57" s="6" t="s">
        <v>34</v>
      </c>
      <c r="J57" s="6" t="s">
        <v>32</v>
      </c>
      <c r="K57" s="8" t="s">
        <v>91</v>
      </c>
      <c r="L57" s="6" t="n">
        <v>501.84</v>
      </c>
      <c r="M57" s="8" t="s">
        <v>46</v>
      </c>
    </row>
    <row r="58" customFormat="false" ht="15" hidden="false" customHeight="false" outlineLevel="0" collapsed="false">
      <c r="A58" s="6" t="n">
        <v>57</v>
      </c>
      <c r="B58" s="6" t="s">
        <v>219</v>
      </c>
      <c r="C58" s="6" t="s">
        <v>78</v>
      </c>
      <c r="D58" s="6" t="s">
        <v>220</v>
      </c>
      <c r="E58" s="6" t="s">
        <v>139</v>
      </c>
      <c r="F58" s="6" t="s">
        <v>140</v>
      </c>
      <c r="G58" s="6" t="s">
        <v>141</v>
      </c>
      <c r="H58" s="6" t="s">
        <v>132</v>
      </c>
      <c r="I58" s="6" t="s">
        <v>133</v>
      </c>
      <c r="J58" s="6" t="s">
        <v>134</v>
      </c>
      <c r="K58" s="7" t="s">
        <v>35</v>
      </c>
      <c r="L58" s="6" t="n">
        <v>1840.26</v>
      </c>
      <c r="M58" s="7" t="s">
        <v>36</v>
      </c>
    </row>
    <row r="59" customFormat="false" ht="15" hidden="false" customHeight="false" outlineLevel="0" collapsed="false">
      <c r="A59" s="6" t="n">
        <v>58</v>
      </c>
      <c r="B59" s="6" t="s">
        <v>221</v>
      </c>
      <c r="C59" s="6" t="s">
        <v>93</v>
      </c>
      <c r="D59" s="6" t="s">
        <v>222</v>
      </c>
      <c r="E59" s="6" t="s">
        <v>95</v>
      </c>
      <c r="F59" s="6" t="s">
        <v>96</v>
      </c>
      <c r="G59" s="6" t="s">
        <v>97</v>
      </c>
      <c r="H59" s="6" t="s">
        <v>112</v>
      </c>
      <c r="I59" s="6" t="s">
        <v>113</v>
      </c>
      <c r="J59" s="6" t="s">
        <v>100</v>
      </c>
      <c r="K59" s="7" t="s">
        <v>35</v>
      </c>
      <c r="L59" s="6" t="n">
        <v>1278.17</v>
      </c>
      <c r="M59" s="7" t="s">
        <v>36</v>
      </c>
    </row>
    <row r="60" customFormat="false" ht="15" hidden="false" customHeight="false" outlineLevel="0" collapsed="false">
      <c r="A60" s="6" t="n">
        <v>59</v>
      </c>
      <c r="B60" s="6" t="s">
        <v>223</v>
      </c>
      <c r="C60" s="6" t="s">
        <v>93</v>
      </c>
      <c r="D60" s="6" t="s">
        <v>224</v>
      </c>
      <c r="E60" s="6" t="s">
        <v>40</v>
      </c>
      <c r="F60" s="6" t="s">
        <v>41</v>
      </c>
      <c r="G60" s="6" t="s">
        <v>42</v>
      </c>
      <c r="H60" s="6" t="s">
        <v>43</v>
      </c>
      <c r="I60" s="6" t="s">
        <v>44</v>
      </c>
      <c r="J60" s="6" t="s">
        <v>42</v>
      </c>
      <c r="K60" s="8" t="s">
        <v>45</v>
      </c>
      <c r="L60" s="6" t="n">
        <v>982.39</v>
      </c>
      <c r="M60" s="8" t="s">
        <v>46</v>
      </c>
    </row>
    <row r="61" customFormat="false" ht="15" hidden="false" customHeight="false" outlineLevel="0" collapsed="false">
      <c r="A61" s="6" t="n">
        <v>60</v>
      </c>
      <c r="B61" s="6" t="s">
        <v>225</v>
      </c>
      <c r="C61" s="6" t="s">
        <v>28</v>
      </c>
      <c r="D61" s="6" t="s">
        <v>226</v>
      </c>
      <c r="E61" s="6" t="s">
        <v>103</v>
      </c>
      <c r="F61" s="6" t="s">
        <v>104</v>
      </c>
      <c r="G61" s="6" t="s">
        <v>105</v>
      </c>
      <c r="H61" s="6" t="s">
        <v>116</v>
      </c>
      <c r="I61" s="6" t="s">
        <v>117</v>
      </c>
      <c r="J61" s="6" t="s">
        <v>85</v>
      </c>
      <c r="K61" s="8" t="s">
        <v>91</v>
      </c>
      <c r="L61" s="6" t="n">
        <v>2527.45</v>
      </c>
      <c r="M61" s="8" t="s">
        <v>46</v>
      </c>
    </row>
    <row r="62" customFormat="false" ht="15" hidden="false" customHeight="false" outlineLevel="0" collapsed="false">
      <c r="A62" s="6" t="n">
        <v>61</v>
      </c>
      <c r="B62" s="6" t="s">
        <v>227</v>
      </c>
      <c r="C62" s="6" t="s">
        <v>153</v>
      </c>
      <c r="D62" s="6" t="s">
        <v>228</v>
      </c>
      <c r="E62" s="6" t="s">
        <v>139</v>
      </c>
      <c r="F62" s="6" t="s">
        <v>140</v>
      </c>
      <c r="G62" s="6" t="s">
        <v>141</v>
      </c>
      <c r="H62" s="6" t="s">
        <v>116</v>
      </c>
      <c r="I62" s="6" t="s">
        <v>117</v>
      </c>
      <c r="J62" s="6" t="s">
        <v>85</v>
      </c>
      <c r="K62" s="7" t="s">
        <v>35</v>
      </c>
      <c r="L62" s="6" t="n">
        <v>222.14</v>
      </c>
      <c r="M62" s="7" t="s">
        <v>36</v>
      </c>
    </row>
    <row r="63" customFormat="false" ht="15" hidden="false" customHeight="false" outlineLevel="0" collapsed="false">
      <c r="A63" s="6" t="n">
        <v>62</v>
      </c>
      <c r="B63" s="6" t="s">
        <v>229</v>
      </c>
      <c r="C63" s="6" t="s">
        <v>153</v>
      </c>
      <c r="D63" s="6" t="s">
        <v>230</v>
      </c>
      <c r="E63" s="6" t="s">
        <v>54</v>
      </c>
      <c r="F63" s="6" t="s">
        <v>55</v>
      </c>
      <c r="G63" s="6" t="s">
        <v>56</v>
      </c>
      <c r="H63" s="6" t="s">
        <v>57</v>
      </c>
      <c r="I63" s="6" t="s">
        <v>58</v>
      </c>
      <c r="J63" s="6" t="s">
        <v>59</v>
      </c>
      <c r="K63" s="7" t="s">
        <v>35</v>
      </c>
      <c r="L63" s="6" t="n">
        <v>2255.62</v>
      </c>
      <c r="M63" s="7" t="s">
        <v>36</v>
      </c>
    </row>
    <row r="64" customFormat="false" ht="15" hidden="false" customHeight="false" outlineLevel="0" collapsed="false">
      <c r="A64" s="6" t="n">
        <v>63</v>
      </c>
      <c r="B64" s="6" t="s">
        <v>231</v>
      </c>
      <c r="C64" s="6" t="s">
        <v>38</v>
      </c>
      <c r="D64" s="6" t="s">
        <v>232</v>
      </c>
      <c r="E64" s="6" t="s">
        <v>80</v>
      </c>
      <c r="F64" s="6" t="s">
        <v>81</v>
      </c>
      <c r="G64" s="6" t="s">
        <v>82</v>
      </c>
      <c r="H64" s="6" t="s">
        <v>116</v>
      </c>
      <c r="I64" s="6" t="s">
        <v>117</v>
      </c>
      <c r="J64" s="6" t="s">
        <v>85</v>
      </c>
      <c r="K64" s="7" t="s">
        <v>35</v>
      </c>
      <c r="L64" s="6" t="n">
        <v>2224</v>
      </c>
      <c r="M64" s="7" t="s">
        <v>36</v>
      </c>
    </row>
    <row r="65" customFormat="false" ht="15" hidden="false" customHeight="false" outlineLevel="0" collapsed="false">
      <c r="A65" s="6" t="n">
        <v>64</v>
      </c>
      <c r="B65" s="6" t="s">
        <v>233</v>
      </c>
      <c r="C65" s="6" t="s">
        <v>78</v>
      </c>
      <c r="D65" s="6" t="s">
        <v>234</v>
      </c>
      <c r="E65" s="6" t="s">
        <v>80</v>
      </c>
      <c r="F65" s="6" t="s">
        <v>81</v>
      </c>
      <c r="G65" s="6" t="s">
        <v>82</v>
      </c>
      <c r="H65" s="6" t="s">
        <v>65</v>
      </c>
      <c r="I65" s="6" t="s">
        <v>66</v>
      </c>
      <c r="J65" s="6" t="s">
        <v>67</v>
      </c>
      <c r="K65" s="8" t="s">
        <v>91</v>
      </c>
      <c r="L65" s="6" t="n">
        <v>1653.38</v>
      </c>
      <c r="M65" s="8" t="s">
        <v>46</v>
      </c>
    </row>
    <row r="66" customFormat="false" ht="15" hidden="false" customHeight="false" outlineLevel="0" collapsed="false">
      <c r="A66" s="6" t="n">
        <v>65</v>
      </c>
      <c r="B66" s="6" t="s">
        <v>235</v>
      </c>
      <c r="C66" s="6" t="s">
        <v>93</v>
      </c>
      <c r="D66" s="6" t="s">
        <v>222</v>
      </c>
      <c r="E66" s="6" t="s">
        <v>30</v>
      </c>
      <c r="F66" s="6" t="s">
        <v>31</v>
      </c>
      <c r="G66" s="6" t="s">
        <v>32</v>
      </c>
      <c r="H66" s="6" t="s">
        <v>33</v>
      </c>
      <c r="I66" s="6" t="s">
        <v>34</v>
      </c>
      <c r="J66" s="6" t="s">
        <v>32</v>
      </c>
      <c r="K66" s="7" t="s">
        <v>35</v>
      </c>
      <c r="L66" s="6" t="n">
        <v>2825.75</v>
      </c>
      <c r="M66" s="7" t="s">
        <v>36</v>
      </c>
    </row>
    <row r="67" customFormat="false" ht="15" hidden="false" customHeight="false" outlineLevel="0" collapsed="false">
      <c r="A67" s="6" t="n">
        <v>66</v>
      </c>
      <c r="B67" s="6" t="s">
        <v>236</v>
      </c>
      <c r="C67" s="6" t="s">
        <v>38</v>
      </c>
      <c r="D67" s="6" t="s">
        <v>237</v>
      </c>
      <c r="E67" s="6" t="s">
        <v>127</v>
      </c>
      <c r="F67" s="6" t="s">
        <v>128</v>
      </c>
      <c r="G67" s="6" t="s">
        <v>129</v>
      </c>
      <c r="H67" s="6" t="s">
        <v>57</v>
      </c>
      <c r="I67" s="6" t="s">
        <v>58</v>
      </c>
      <c r="J67" s="6" t="s">
        <v>59</v>
      </c>
      <c r="K67" s="7" t="s">
        <v>35</v>
      </c>
      <c r="L67" s="6" t="n">
        <v>1356.76</v>
      </c>
      <c r="M67" s="7" t="s">
        <v>36</v>
      </c>
    </row>
    <row r="68" customFormat="false" ht="15" hidden="false" customHeight="false" outlineLevel="0" collapsed="false">
      <c r="A68" s="6" t="n">
        <v>67</v>
      </c>
      <c r="B68" s="6" t="s">
        <v>238</v>
      </c>
      <c r="C68" s="6" t="s">
        <v>50</v>
      </c>
      <c r="D68" s="6" t="s">
        <v>239</v>
      </c>
      <c r="E68" s="6" t="s">
        <v>120</v>
      </c>
      <c r="F68" s="6" t="s">
        <v>121</v>
      </c>
      <c r="G68" s="6" t="s">
        <v>122</v>
      </c>
      <c r="H68" s="6" t="s">
        <v>116</v>
      </c>
      <c r="I68" s="6" t="s">
        <v>117</v>
      </c>
      <c r="J68" s="6" t="s">
        <v>85</v>
      </c>
      <c r="K68" s="8" t="s">
        <v>91</v>
      </c>
      <c r="L68" s="6" t="n">
        <v>3291.29</v>
      </c>
      <c r="M68" s="8" t="s">
        <v>46</v>
      </c>
    </row>
    <row r="69" customFormat="false" ht="15" hidden="false" customHeight="false" outlineLevel="0" collapsed="false">
      <c r="A69" s="6" t="n">
        <v>68</v>
      </c>
      <c r="B69" s="6" t="s">
        <v>240</v>
      </c>
      <c r="C69" s="6" t="s">
        <v>50</v>
      </c>
      <c r="D69" s="6" t="s">
        <v>241</v>
      </c>
      <c r="E69" s="6" t="s">
        <v>88</v>
      </c>
      <c r="F69" s="6" t="s">
        <v>89</v>
      </c>
      <c r="G69" s="6" t="s">
        <v>90</v>
      </c>
      <c r="H69" s="6" t="s">
        <v>182</v>
      </c>
      <c r="I69" s="6" t="s">
        <v>183</v>
      </c>
      <c r="J69" s="6" t="s">
        <v>90</v>
      </c>
      <c r="K69" s="7" t="s">
        <v>35</v>
      </c>
      <c r="L69" s="6" t="n">
        <v>2588.04</v>
      </c>
      <c r="M69" s="7" t="s">
        <v>36</v>
      </c>
    </row>
    <row r="70" customFormat="false" ht="15" hidden="false" customHeight="false" outlineLevel="0" collapsed="false">
      <c r="A70" s="6" t="n">
        <v>69</v>
      </c>
      <c r="B70" s="6" t="s">
        <v>242</v>
      </c>
      <c r="C70" s="6" t="s">
        <v>153</v>
      </c>
      <c r="D70" s="6" t="s">
        <v>243</v>
      </c>
      <c r="E70" s="6" t="s">
        <v>127</v>
      </c>
      <c r="F70" s="6" t="s">
        <v>128</v>
      </c>
      <c r="G70" s="6" t="s">
        <v>129</v>
      </c>
      <c r="H70" s="6" t="s">
        <v>132</v>
      </c>
      <c r="I70" s="6" t="s">
        <v>133</v>
      </c>
      <c r="J70" s="6" t="s">
        <v>134</v>
      </c>
      <c r="K70" s="7" t="s">
        <v>35</v>
      </c>
      <c r="L70" s="6" t="n">
        <v>1696.9</v>
      </c>
      <c r="M70" s="7" t="s">
        <v>36</v>
      </c>
    </row>
    <row r="71" customFormat="false" ht="15" hidden="false" customHeight="false" outlineLevel="0" collapsed="false">
      <c r="A71" s="6" t="n">
        <v>70</v>
      </c>
      <c r="B71" s="6" t="s">
        <v>244</v>
      </c>
      <c r="C71" s="6" t="s">
        <v>38</v>
      </c>
      <c r="D71" s="6" t="s">
        <v>245</v>
      </c>
      <c r="E71" s="6" t="s">
        <v>80</v>
      </c>
      <c r="F71" s="6" t="s">
        <v>81</v>
      </c>
      <c r="G71" s="6" t="s">
        <v>82</v>
      </c>
      <c r="H71" s="6" t="s">
        <v>83</v>
      </c>
      <c r="I71" s="6" t="s">
        <v>84</v>
      </c>
      <c r="J71" s="6" t="s">
        <v>85</v>
      </c>
      <c r="K71" s="8" t="s">
        <v>45</v>
      </c>
      <c r="L71" s="6" t="n">
        <v>389.41</v>
      </c>
      <c r="M71" s="8" t="s">
        <v>46</v>
      </c>
    </row>
    <row r="72" customFormat="false" ht="15" hidden="false" customHeight="false" outlineLevel="0" collapsed="false">
      <c r="A72" s="6" t="n">
        <v>71</v>
      </c>
      <c r="B72" s="6" t="s">
        <v>246</v>
      </c>
      <c r="C72" s="6" t="s">
        <v>28</v>
      </c>
      <c r="D72" s="6" t="s">
        <v>247</v>
      </c>
      <c r="E72" s="6" t="s">
        <v>80</v>
      </c>
      <c r="F72" s="6" t="s">
        <v>81</v>
      </c>
      <c r="G72" s="6" t="s">
        <v>82</v>
      </c>
      <c r="H72" s="6" t="s">
        <v>83</v>
      </c>
      <c r="I72" s="6" t="s">
        <v>84</v>
      </c>
      <c r="J72" s="6" t="s">
        <v>85</v>
      </c>
      <c r="K72" s="8" t="s">
        <v>45</v>
      </c>
      <c r="L72" s="6" t="n">
        <v>1244.58</v>
      </c>
      <c r="M72" s="8" t="s">
        <v>46</v>
      </c>
    </row>
    <row r="73" customFormat="false" ht="15" hidden="false" customHeight="false" outlineLevel="0" collapsed="false">
      <c r="A73" s="6" t="n">
        <v>72</v>
      </c>
      <c r="B73" s="6" t="s">
        <v>248</v>
      </c>
      <c r="C73" s="6" t="s">
        <v>38</v>
      </c>
      <c r="D73" s="6" t="s">
        <v>249</v>
      </c>
      <c r="E73" s="6" t="s">
        <v>139</v>
      </c>
      <c r="F73" s="6" t="s">
        <v>140</v>
      </c>
      <c r="G73" s="6" t="s">
        <v>141</v>
      </c>
      <c r="H73" s="6" t="s">
        <v>161</v>
      </c>
      <c r="I73" s="6" t="s">
        <v>162</v>
      </c>
      <c r="J73" s="6" t="s">
        <v>163</v>
      </c>
      <c r="K73" s="8" t="s">
        <v>91</v>
      </c>
      <c r="L73" s="6" t="n">
        <v>2938.92</v>
      </c>
      <c r="M73" s="8" t="s">
        <v>46</v>
      </c>
    </row>
    <row r="74" customFormat="false" ht="15" hidden="false" customHeight="false" outlineLevel="0" collapsed="false">
      <c r="A74" s="6" t="n">
        <v>73</v>
      </c>
      <c r="B74" s="6" t="s">
        <v>250</v>
      </c>
      <c r="C74" s="6" t="s">
        <v>38</v>
      </c>
      <c r="D74" s="6" t="s">
        <v>251</v>
      </c>
      <c r="E74" s="6" t="s">
        <v>40</v>
      </c>
      <c r="F74" s="6" t="s">
        <v>41</v>
      </c>
      <c r="G74" s="6" t="s">
        <v>42</v>
      </c>
      <c r="H74" s="6" t="s">
        <v>98</v>
      </c>
      <c r="I74" s="6" t="s">
        <v>99</v>
      </c>
      <c r="J74" s="6" t="s">
        <v>100</v>
      </c>
      <c r="K74" s="8" t="s">
        <v>91</v>
      </c>
      <c r="L74" s="6" t="n">
        <v>3487.14</v>
      </c>
      <c r="M74" s="8" t="s">
        <v>46</v>
      </c>
    </row>
    <row r="75" customFormat="false" ht="15" hidden="false" customHeight="false" outlineLevel="0" collapsed="false">
      <c r="A75" s="6" t="n">
        <v>74</v>
      </c>
      <c r="B75" s="6" t="s">
        <v>252</v>
      </c>
      <c r="C75" s="6" t="s">
        <v>78</v>
      </c>
      <c r="D75" s="6" t="s">
        <v>205</v>
      </c>
      <c r="E75" s="6" t="s">
        <v>88</v>
      </c>
      <c r="F75" s="6" t="s">
        <v>89</v>
      </c>
      <c r="G75" s="6" t="s">
        <v>90</v>
      </c>
      <c r="H75" s="6" t="s">
        <v>182</v>
      </c>
      <c r="I75" s="6" t="s">
        <v>183</v>
      </c>
      <c r="J75" s="6" t="s">
        <v>90</v>
      </c>
      <c r="K75" s="7" t="s">
        <v>35</v>
      </c>
      <c r="L75" s="6" t="n">
        <v>440.6</v>
      </c>
      <c r="M75" s="7" t="s">
        <v>36</v>
      </c>
    </row>
    <row r="76" customFormat="false" ht="15" hidden="false" customHeight="false" outlineLevel="0" collapsed="false">
      <c r="A76" s="6" t="n">
        <v>75</v>
      </c>
      <c r="B76" s="6" t="s">
        <v>253</v>
      </c>
      <c r="C76" s="6" t="s">
        <v>38</v>
      </c>
      <c r="D76" s="6" t="s">
        <v>254</v>
      </c>
      <c r="E76" s="6" t="s">
        <v>30</v>
      </c>
      <c r="F76" s="6" t="s">
        <v>31</v>
      </c>
      <c r="G76" s="6" t="s">
        <v>32</v>
      </c>
      <c r="H76" s="6" t="s">
        <v>33</v>
      </c>
      <c r="I76" s="6" t="s">
        <v>34</v>
      </c>
      <c r="J76" s="6" t="s">
        <v>32</v>
      </c>
      <c r="K76" s="7" t="s">
        <v>35</v>
      </c>
      <c r="L76" s="6" t="n">
        <v>3052.77</v>
      </c>
      <c r="M76" s="7" t="s">
        <v>36</v>
      </c>
    </row>
    <row r="77" customFormat="false" ht="15" hidden="false" customHeight="false" outlineLevel="0" collapsed="false">
      <c r="A77" s="6" t="n">
        <v>76</v>
      </c>
      <c r="B77" s="6" t="s">
        <v>255</v>
      </c>
      <c r="C77" s="6" t="s">
        <v>28</v>
      </c>
      <c r="D77" s="6" t="s">
        <v>256</v>
      </c>
      <c r="E77" s="6" t="s">
        <v>139</v>
      </c>
      <c r="F77" s="6" t="s">
        <v>140</v>
      </c>
      <c r="G77" s="6" t="s">
        <v>141</v>
      </c>
      <c r="H77" s="6" t="s">
        <v>116</v>
      </c>
      <c r="I77" s="6" t="s">
        <v>117</v>
      </c>
      <c r="J77" s="6" t="s">
        <v>85</v>
      </c>
      <c r="K77" s="7" t="s">
        <v>35</v>
      </c>
      <c r="L77" s="6" t="n">
        <v>2287.46</v>
      </c>
      <c r="M77" s="7" t="s">
        <v>36</v>
      </c>
    </row>
    <row r="78" customFormat="false" ht="15" hidden="false" customHeight="false" outlineLevel="0" collapsed="false">
      <c r="A78" s="6" t="n">
        <v>77</v>
      </c>
      <c r="B78" s="6" t="s">
        <v>257</v>
      </c>
      <c r="C78" s="6" t="s">
        <v>50</v>
      </c>
      <c r="D78" s="6" t="s">
        <v>258</v>
      </c>
      <c r="E78" s="6" t="s">
        <v>62</v>
      </c>
      <c r="F78" s="6" t="s">
        <v>63</v>
      </c>
      <c r="G78" s="6" t="s">
        <v>64</v>
      </c>
      <c r="H78" s="6" t="s">
        <v>98</v>
      </c>
      <c r="I78" s="6" t="s">
        <v>99</v>
      </c>
      <c r="J78" s="6" t="s">
        <v>100</v>
      </c>
      <c r="K78" s="9" t="s">
        <v>68</v>
      </c>
      <c r="L78" s="6" t="n">
        <v>1333.59</v>
      </c>
      <c r="M78" s="9" t="s">
        <v>69</v>
      </c>
    </row>
    <row r="79" customFormat="false" ht="15" hidden="false" customHeight="false" outlineLevel="0" collapsed="false">
      <c r="A79" s="6" t="n">
        <v>78</v>
      </c>
      <c r="B79" s="6" t="s">
        <v>259</v>
      </c>
      <c r="C79" s="6" t="s">
        <v>153</v>
      </c>
      <c r="D79" s="6" t="s">
        <v>234</v>
      </c>
      <c r="E79" s="6" t="s">
        <v>80</v>
      </c>
      <c r="F79" s="6" t="s">
        <v>81</v>
      </c>
      <c r="G79" s="6" t="s">
        <v>82</v>
      </c>
      <c r="H79" s="6" t="s">
        <v>161</v>
      </c>
      <c r="I79" s="6" t="s">
        <v>162</v>
      </c>
      <c r="J79" s="6" t="s">
        <v>163</v>
      </c>
      <c r="K79" s="7" t="s">
        <v>35</v>
      </c>
      <c r="L79" s="6" t="n">
        <v>3384.63</v>
      </c>
      <c r="M79" s="7" t="s">
        <v>36</v>
      </c>
    </row>
    <row r="80" customFormat="false" ht="15" hidden="false" customHeight="false" outlineLevel="0" collapsed="false">
      <c r="A80" s="6" t="n">
        <v>79</v>
      </c>
      <c r="B80" s="6" t="s">
        <v>260</v>
      </c>
      <c r="C80" s="6" t="s">
        <v>50</v>
      </c>
      <c r="D80" s="6" t="s">
        <v>261</v>
      </c>
      <c r="E80" s="6" t="s">
        <v>95</v>
      </c>
      <c r="F80" s="6" t="s">
        <v>96</v>
      </c>
      <c r="G80" s="6" t="s">
        <v>97</v>
      </c>
      <c r="H80" s="6" t="s">
        <v>132</v>
      </c>
      <c r="I80" s="6" t="s">
        <v>133</v>
      </c>
      <c r="J80" s="6" t="s">
        <v>134</v>
      </c>
      <c r="K80" s="7" t="s">
        <v>35</v>
      </c>
      <c r="L80" s="6" t="n">
        <v>1497.3</v>
      </c>
      <c r="M80" s="7" t="s">
        <v>36</v>
      </c>
    </row>
    <row r="81" customFormat="false" ht="15" hidden="false" customHeight="false" outlineLevel="0" collapsed="false">
      <c r="A81" s="6" t="n">
        <v>80</v>
      </c>
      <c r="B81" s="6" t="s">
        <v>262</v>
      </c>
      <c r="C81" s="6" t="s">
        <v>78</v>
      </c>
      <c r="D81" s="6" t="s">
        <v>263</v>
      </c>
      <c r="E81" s="6" t="s">
        <v>40</v>
      </c>
      <c r="F81" s="6" t="s">
        <v>41</v>
      </c>
      <c r="G81" s="6" t="s">
        <v>42</v>
      </c>
      <c r="H81" s="6" t="s">
        <v>43</v>
      </c>
      <c r="I81" s="6" t="s">
        <v>44</v>
      </c>
      <c r="J81" s="6" t="s">
        <v>42</v>
      </c>
      <c r="K81" s="8" t="s">
        <v>45</v>
      </c>
      <c r="L81" s="6" t="n">
        <v>2423.04</v>
      </c>
      <c r="M81" s="8" t="s">
        <v>46</v>
      </c>
    </row>
    <row r="82" customFormat="false" ht="15" hidden="false" customHeight="false" outlineLevel="0" collapsed="false">
      <c r="A82" s="6" t="n">
        <v>81</v>
      </c>
      <c r="B82" s="6" t="s">
        <v>264</v>
      </c>
      <c r="C82" s="6" t="s">
        <v>28</v>
      </c>
      <c r="D82" s="6" t="s">
        <v>265</v>
      </c>
      <c r="E82" s="6" t="s">
        <v>80</v>
      </c>
      <c r="F82" s="6" t="s">
        <v>81</v>
      </c>
      <c r="G82" s="6" t="s">
        <v>82</v>
      </c>
      <c r="H82" s="6" t="s">
        <v>83</v>
      </c>
      <c r="I82" s="6" t="s">
        <v>84</v>
      </c>
      <c r="J82" s="6" t="s">
        <v>85</v>
      </c>
      <c r="K82" s="8" t="s">
        <v>45</v>
      </c>
      <c r="L82" s="6" t="n">
        <v>403.32</v>
      </c>
      <c r="M82" s="8" t="s">
        <v>46</v>
      </c>
    </row>
    <row r="83" customFormat="false" ht="15" hidden="false" customHeight="false" outlineLevel="0" collapsed="false">
      <c r="A83" s="6" t="n">
        <v>82</v>
      </c>
      <c r="B83" s="6" t="s">
        <v>266</v>
      </c>
      <c r="C83" s="6" t="s">
        <v>153</v>
      </c>
      <c r="D83" s="6" t="s">
        <v>267</v>
      </c>
      <c r="E83" s="6" t="s">
        <v>62</v>
      </c>
      <c r="F83" s="6" t="s">
        <v>63</v>
      </c>
      <c r="G83" s="6" t="s">
        <v>64</v>
      </c>
      <c r="H83" s="6" t="s">
        <v>98</v>
      </c>
      <c r="I83" s="6" t="s">
        <v>99</v>
      </c>
      <c r="J83" s="6" t="s">
        <v>100</v>
      </c>
      <c r="K83" s="9" t="s">
        <v>68</v>
      </c>
      <c r="L83" s="6" t="n">
        <v>2083.65</v>
      </c>
      <c r="M83" s="9" t="s">
        <v>69</v>
      </c>
    </row>
    <row r="84" customFormat="false" ht="15" hidden="false" customHeight="false" outlineLevel="0" collapsed="false">
      <c r="A84" s="6" t="n">
        <v>83</v>
      </c>
      <c r="B84" s="6" t="s">
        <v>268</v>
      </c>
      <c r="C84" s="6" t="s">
        <v>153</v>
      </c>
      <c r="D84" s="6" t="s">
        <v>269</v>
      </c>
      <c r="E84" s="6" t="s">
        <v>72</v>
      </c>
      <c r="F84" s="6" t="s">
        <v>73</v>
      </c>
      <c r="G84" s="6" t="s">
        <v>64</v>
      </c>
      <c r="H84" s="6" t="s">
        <v>83</v>
      </c>
      <c r="I84" s="6" t="s">
        <v>84</v>
      </c>
      <c r="J84" s="6" t="s">
        <v>85</v>
      </c>
      <c r="K84" s="8" t="s">
        <v>91</v>
      </c>
      <c r="L84" s="6" t="n">
        <v>1153.35</v>
      </c>
      <c r="M84" s="8" t="s">
        <v>46</v>
      </c>
    </row>
    <row r="85" customFormat="false" ht="15" hidden="false" customHeight="false" outlineLevel="0" collapsed="false">
      <c r="A85" s="6" t="n">
        <v>84</v>
      </c>
      <c r="B85" s="6" t="s">
        <v>270</v>
      </c>
      <c r="C85" s="6" t="s">
        <v>153</v>
      </c>
      <c r="D85" s="6" t="s">
        <v>271</v>
      </c>
      <c r="E85" s="6" t="s">
        <v>62</v>
      </c>
      <c r="F85" s="6" t="s">
        <v>63</v>
      </c>
      <c r="G85" s="6" t="s">
        <v>64</v>
      </c>
      <c r="H85" s="6" t="s">
        <v>98</v>
      </c>
      <c r="I85" s="6" t="s">
        <v>99</v>
      </c>
      <c r="J85" s="6" t="s">
        <v>100</v>
      </c>
      <c r="K85" s="9" t="s">
        <v>68</v>
      </c>
      <c r="L85" s="6" t="n">
        <v>2374.49</v>
      </c>
      <c r="M85" s="9" t="s">
        <v>69</v>
      </c>
    </row>
    <row r="86" customFormat="false" ht="15" hidden="false" customHeight="false" outlineLevel="0" collapsed="false">
      <c r="A86" s="6" t="n">
        <v>85</v>
      </c>
      <c r="B86" s="6" t="s">
        <v>272</v>
      </c>
      <c r="C86" s="6" t="s">
        <v>153</v>
      </c>
      <c r="D86" s="6" t="s">
        <v>273</v>
      </c>
      <c r="E86" s="6" t="s">
        <v>40</v>
      </c>
      <c r="F86" s="6" t="s">
        <v>41</v>
      </c>
      <c r="G86" s="6" t="s">
        <v>42</v>
      </c>
      <c r="H86" s="6" t="s">
        <v>161</v>
      </c>
      <c r="I86" s="6" t="s">
        <v>162</v>
      </c>
      <c r="J86" s="6" t="s">
        <v>163</v>
      </c>
      <c r="K86" s="8" t="s">
        <v>91</v>
      </c>
      <c r="L86" s="6" t="n">
        <v>3121.23</v>
      </c>
      <c r="M86" s="8" t="s">
        <v>46</v>
      </c>
    </row>
    <row r="87" customFormat="false" ht="15" hidden="false" customHeight="false" outlineLevel="0" collapsed="false">
      <c r="A87" s="6" t="n">
        <v>86</v>
      </c>
      <c r="B87" s="6" t="s">
        <v>274</v>
      </c>
      <c r="C87" s="6" t="s">
        <v>50</v>
      </c>
      <c r="D87" s="6" t="s">
        <v>275</v>
      </c>
      <c r="E87" s="6" t="s">
        <v>72</v>
      </c>
      <c r="F87" s="6" t="s">
        <v>73</v>
      </c>
      <c r="G87" s="6" t="s">
        <v>64</v>
      </c>
      <c r="H87" s="6" t="s">
        <v>112</v>
      </c>
      <c r="I87" s="6" t="s">
        <v>113</v>
      </c>
      <c r="J87" s="6" t="s">
        <v>100</v>
      </c>
      <c r="K87" s="9" t="s">
        <v>68</v>
      </c>
      <c r="L87" s="6" t="n">
        <v>762.14</v>
      </c>
      <c r="M87" s="9" t="s">
        <v>69</v>
      </c>
    </row>
    <row r="88" customFormat="false" ht="15" hidden="false" customHeight="false" outlineLevel="0" collapsed="false">
      <c r="A88" s="6" t="n">
        <v>87</v>
      </c>
      <c r="B88" s="6" t="s">
        <v>276</v>
      </c>
      <c r="C88" s="6" t="s">
        <v>93</v>
      </c>
      <c r="D88" s="6" t="s">
        <v>277</v>
      </c>
      <c r="E88" s="6" t="s">
        <v>95</v>
      </c>
      <c r="F88" s="6" t="s">
        <v>96</v>
      </c>
      <c r="G88" s="6" t="s">
        <v>97</v>
      </c>
      <c r="H88" s="6" t="s">
        <v>132</v>
      </c>
      <c r="I88" s="6" t="s">
        <v>133</v>
      </c>
      <c r="J88" s="6" t="s">
        <v>134</v>
      </c>
      <c r="K88" s="7" t="s">
        <v>35</v>
      </c>
      <c r="L88" s="6" t="n">
        <v>2726.65</v>
      </c>
      <c r="M88" s="7" t="s">
        <v>36</v>
      </c>
    </row>
    <row r="89" customFormat="false" ht="15" hidden="false" customHeight="false" outlineLevel="0" collapsed="false">
      <c r="A89" s="6" t="n">
        <v>88</v>
      </c>
      <c r="B89" s="6" t="s">
        <v>278</v>
      </c>
      <c r="C89" s="6" t="s">
        <v>50</v>
      </c>
      <c r="D89" s="6" t="s">
        <v>279</v>
      </c>
      <c r="E89" s="6" t="s">
        <v>62</v>
      </c>
      <c r="F89" s="6" t="s">
        <v>63</v>
      </c>
      <c r="G89" s="6" t="s">
        <v>64</v>
      </c>
      <c r="H89" s="6" t="s">
        <v>98</v>
      </c>
      <c r="I89" s="6" t="s">
        <v>99</v>
      </c>
      <c r="J89" s="6" t="s">
        <v>100</v>
      </c>
      <c r="K89" s="9" t="s">
        <v>68</v>
      </c>
      <c r="L89" s="6" t="n">
        <v>1678.08</v>
      </c>
      <c r="M89" s="9" t="s">
        <v>69</v>
      </c>
    </row>
    <row r="90" customFormat="false" ht="15" hidden="false" customHeight="false" outlineLevel="0" collapsed="false">
      <c r="A90" s="6" t="n">
        <v>89</v>
      </c>
      <c r="B90" s="6" t="s">
        <v>280</v>
      </c>
      <c r="C90" s="6" t="s">
        <v>38</v>
      </c>
      <c r="D90" s="6" t="s">
        <v>281</v>
      </c>
      <c r="E90" s="6" t="s">
        <v>54</v>
      </c>
      <c r="F90" s="6" t="s">
        <v>55</v>
      </c>
      <c r="G90" s="6" t="s">
        <v>56</v>
      </c>
      <c r="H90" s="6" t="s">
        <v>185</v>
      </c>
      <c r="I90" s="6" t="s">
        <v>186</v>
      </c>
      <c r="J90" s="6" t="s">
        <v>105</v>
      </c>
      <c r="K90" s="8" t="s">
        <v>91</v>
      </c>
      <c r="L90" s="6" t="n">
        <v>3475.3</v>
      </c>
      <c r="M90" s="8" t="s">
        <v>46</v>
      </c>
    </row>
    <row r="91" customFormat="false" ht="15" hidden="false" customHeight="false" outlineLevel="0" collapsed="false">
      <c r="A91" s="6" t="n">
        <v>90</v>
      </c>
      <c r="B91" s="6" t="s">
        <v>282</v>
      </c>
      <c r="C91" s="6" t="s">
        <v>78</v>
      </c>
      <c r="D91" s="6" t="s">
        <v>131</v>
      </c>
      <c r="E91" s="6" t="s">
        <v>80</v>
      </c>
      <c r="F91" s="6" t="s">
        <v>81</v>
      </c>
      <c r="G91" s="6" t="s">
        <v>82</v>
      </c>
      <c r="H91" s="6" t="s">
        <v>83</v>
      </c>
      <c r="I91" s="6" t="s">
        <v>84</v>
      </c>
      <c r="J91" s="6" t="s">
        <v>85</v>
      </c>
      <c r="K91" s="8" t="s">
        <v>45</v>
      </c>
      <c r="L91" s="6" t="n">
        <v>1675.83</v>
      </c>
      <c r="M91" s="8" t="s">
        <v>46</v>
      </c>
    </row>
    <row r="92" customFormat="false" ht="15" hidden="false" customHeight="false" outlineLevel="0" collapsed="false">
      <c r="A92" s="6" t="n">
        <v>91</v>
      </c>
      <c r="B92" s="6" t="s">
        <v>283</v>
      </c>
      <c r="C92" s="6" t="s">
        <v>78</v>
      </c>
      <c r="D92" s="6" t="s">
        <v>284</v>
      </c>
      <c r="E92" s="6" t="s">
        <v>95</v>
      </c>
      <c r="F92" s="6" t="s">
        <v>96</v>
      </c>
      <c r="G92" s="6" t="s">
        <v>97</v>
      </c>
      <c r="H92" s="6" t="s">
        <v>132</v>
      </c>
      <c r="I92" s="6" t="s">
        <v>133</v>
      </c>
      <c r="J92" s="6" t="s">
        <v>134</v>
      </c>
      <c r="K92" s="7" t="s">
        <v>35</v>
      </c>
      <c r="L92" s="6" t="n">
        <v>3358.6</v>
      </c>
      <c r="M92" s="7" t="s">
        <v>36</v>
      </c>
    </row>
    <row r="93" customFormat="false" ht="15" hidden="false" customHeight="false" outlineLevel="0" collapsed="false">
      <c r="A93" s="6" t="n">
        <v>92</v>
      </c>
      <c r="B93" s="6" t="s">
        <v>285</v>
      </c>
      <c r="C93" s="6" t="s">
        <v>93</v>
      </c>
      <c r="D93" s="6" t="s">
        <v>286</v>
      </c>
      <c r="E93" s="6" t="s">
        <v>72</v>
      </c>
      <c r="F93" s="6" t="s">
        <v>73</v>
      </c>
      <c r="G93" s="6" t="s">
        <v>64</v>
      </c>
      <c r="H93" s="6" t="s">
        <v>33</v>
      </c>
      <c r="I93" s="6" t="s">
        <v>34</v>
      </c>
      <c r="J93" s="6" t="s">
        <v>32</v>
      </c>
      <c r="K93" s="8" t="s">
        <v>91</v>
      </c>
      <c r="L93" s="6" t="n">
        <v>716.11</v>
      </c>
      <c r="M93" s="8" t="s">
        <v>46</v>
      </c>
    </row>
    <row r="94" customFormat="false" ht="15" hidden="false" customHeight="false" outlineLevel="0" collapsed="false">
      <c r="A94" s="6" t="n">
        <v>93</v>
      </c>
      <c r="B94" s="6" t="s">
        <v>287</v>
      </c>
      <c r="C94" s="6" t="s">
        <v>93</v>
      </c>
      <c r="D94" s="6" t="s">
        <v>288</v>
      </c>
      <c r="E94" s="6" t="s">
        <v>139</v>
      </c>
      <c r="F94" s="6" t="s">
        <v>140</v>
      </c>
      <c r="G94" s="6" t="s">
        <v>141</v>
      </c>
      <c r="H94" s="6" t="s">
        <v>132</v>
      </c>
      <c r="I94" s="6" t="s">
        <v>133</v>
      </c>
      <c r="J94" s="6" t="s">
        <v>134</v>
      </c>
      <c r="K94" s="7" t="s">
        <v>35</v>
      </c>
      <c r="L94" s="6" t="n">
        <v>3037.96</v>
      </c>
      <c r="M94" s="7" t="s">
        <v>36</v>
      </c>
    </row>
    <row r="95" customFormat="false" ht="15" hidden="false" customHeight="false" outlineLevel="0" collapsed="false">
      <c r="A95" s="6" t="n">
        <v>94</v>
      </c>
      <c r="B95" s="6" t="s">
        <v>289</v>
      </c>
      <c r="C95" s="6" t="s">
        <v>38</v>
      </c>
      <c r="D95" s="6" t="s">
        <v>290</v>
      </c>
      <c r="E95" s="6" t="s">
        <v>80</v>
      </c>
      <c r="F95" s="6" t="s">
        <v>81</v>
      </c>
      <c r="G95" s="6" t="s">
        <v>82</v>
      </c>
      <c r="H95" s="6" t="s">
        <v>116</v>
      </c>
      <c r="I95" s="6" t="s">
        <v>117</v>
      </c>
      <c r="J95" s="6" t="s">
        <v>85</v>
      </c>
      <c r="K95" s="7" t="s">
        <v>35</v>
      </c>
      <c r="L95" s="6" t="n">
        <v>479.04</v>
      </c>
      <c r="M95" s="7" t="s">
        <v>36</v>
      </c>
    </row>
    <row r="96" customFormat="false" ht="15" hidden="false" customHeight="false" outlineLevel="0" collapsed="false">
      <c r="A96" s="6" t="n">
        <v>95</v>
      </c>
      <c r="B96" s="6" t="s">
        <v>291</v>
      </c>
      <c r="C96" s="6" t="s">
        <v>38</v>
      </c>
      <c r="D96" s="6" t="s">
        <v>292</v>
      </c>
      <c r="E96" s="6" t="s">
        <v>72</v>
      </c>
      <c r="F96" s="6" t="s">
        <v>73</v>
      </c>
      <c r="G96" s="6" t="s">
        <v>64</v>
      </c>
      <c r="H96" s="6" t="s">
        <v>74</v>
      </c>
      <c r="I96" s="6" t="s">
        <v>75</v>
      </c>
      <c r="J96" s="6" t="s">
        <v>76</v>
      </c>
      <c r="K96" s="7" t="s">
        <v>35</v>
      </c>
      <c r="L96" s="6" t="n">
        <v>1624.32</v>
      </c>
      <c r="M96" s="7" t="s">
        <v>36</v>
      </c>
    </row>
    <row r="97" customFormat="false" ht="15" hidden="false" customHeight="false" outlineLevel="0" collapsed="false">
      <c r="A97" s="6" t="n">
        <v>96</v>
      </c>
      <c r="B97" s="6" t="s">
        <v>293</v>
      </c>
      <c r="C97" s="6" t="s">
        <v>38</v>
      </c>
      <c r="D97" s="6" t="s">
        <v>294</v>
      </c>
      <c r="E97" s="6" t="s">
        <v>120</v>
      </c>
      <c r="F97" s="6" t="s">
        <v>121</v>
      </c>
      <c r="G97" s="6" t="s">
        <v>122</v>
      </c>
      <c r="H97" s="6" t="s">
        <v>295</v>
      </c>
      <c r="I97" s="6" t="s">
        <v>296</v>
      </c>
      <c r="J97" s="6" t="s">
        <v>122</v>
      </c>
      <c r="K97" s="7" t="s">
        <v>35</v>
      </c>
      <c r="L97" s="6" t="n">
        <v>1221.7</v>
      </c>
      <c r="M97" s="7" t="s">
        <v>36</v>
      </c>
    </row>
    <row r="98" customFormat="false" ht="15" hidden="false" customHeight="false" outlineLevel="0" collapsed="false">
      <c r="A98" s="6" t="n">
        <v>97</v>
      </c>
      <c r="B98" s="6" t="s">
        <v>297</v>
      </c>
      <c r="C98" s="6" t="s">
        <v>38</v>
      </c>
      <c r="D98" s="6" t="s">
        <v>298</v>
      </c>
      <c r="E98" s="6" t="s">
        <v>88</v>
      </c>
      <c r="F98" s="6" t="s">
        <v>89</v>
      </c>
      <c r="G98" s="6" t="s">
        <v>90</v>
      </c>
      <c r="H98" s="6" t="s">
        <v>106</v>
      </c>
      <c r="I98" s="6" t="s">
        <v>107</v>
      </c>
      <c r="J98" s="6" t="s">
        <v>90</v>
      </c>
      <c r="K98" s="8" t="s">
        <v>45</v>
      </c>
      <c r="L98" s="6" t="n">
        <v>2281.74</v>
      </c>
      <c r="M98" s="8" t="s">
        <v>46</v>
      </c>
    </row>
    <row r="99" customFormat="false" ht="15" hidden="false" customHeight="false" outlineLevel="0" collapsed="false">
      <c r="A99" s="6" t="n">
        <v>98</v>
      </c>
      <c r="B99" s="6" t="s">
        <v>299</v>
      </c>
      <c r="C99" s="6" t="s">
        <v>50</v>
      </c>
      <c r="D99" s="6" t="s">
        <v>300</v>
      </c>
      <c r="E99" s="6" t="s">
        <v>88</v>
      </c>
      <c r="F99" s="6" t="s">
        <v>89</v>
      </c>
      <c r="G99" s="6" t="s">
        <v>90</v>
      </c>
      <c r="H99" s="6" t="s">
        <v>106</v>
      </c>
      <c r="I99" s="6" t="s">
        <v>107</v>
      </c>
      <c r="J99" s="6" t="s">
        <v>90</v>
      </c>
      <c r="K99" s="8" t="s">
        <v>45</v>
      </c>
      <c r="L99" s="6" t="n">
        <v>1939.42</v>
      </c>
      <c r="M99" s="8" t="s">
        <v>46</v>
      </c>
    </row>
    <row r="100" customFormat="false" ht="15" hidden="false" customHeight="false" outlineLevel="0" collapsed="false">
      <c r="A100" s="6" t="n">
        <v>99</v>
      </c>
      <c r="B100" s="6" t="s">
        <v>301</v>
      </c>
      <c r="C100" s="6" t="s">
        <v>38</v>
      </c>
      <c r="D100" s="6" t="s">
        <v>302</v>
      </c>
      <c r="E100" s="6" t="s">
        <v>72</v>
      </c>
      <c r="F100" s="6" t="s">
        <v>73</v>
      </c>
      <c r="G100" s="6" t="s">
        <v>64</v>
      </c>
      <c r="H100" s="6" t="s">
        <v>112</v>
      </c>
      <c r="I100" s="6" t="s">
        <v>113</v>
      </c>
      <c r="J100" s="6" t="s">
        <v>100</v>
      </c>
      <c r="K100" s="9" t="s">
        <v>68</v>
      </c>
      <c r="L100" s="6" t="n">
        <v>460.41</v>
      </c>
      <c r="M100" s="9" t="s">
        <v>69</v>
      </c>
    </row>
    <row r="101" customFormat="false" ht="15" hidden="false" customHeight="false" outlineLevel="0" collapsed="false">
      <c r="A101" s="6" t="n">
        <v>100</v>
      </c>
      <c r="B101" s="6" t="s">
        <v>303</v>
      </c>
      <c r="C101" s="6" t="s">
        <v>153</v>
      </c>
      <c r="D101" s="6" t="s">
        <v>304</v>
      </c>
      <c r="E101" s="6" t="s">
        <v>120</v>
      </c>
      <c r="F101" s="6" t="s">
        <v>121</v>
      </c>
      <c r="G101" s="6" t="s">
        <v>122</v>
      </c>
      <c r="H101" s="6" t="s">
        <v>116</v>
      </c>
      <c r="I101" s="6" t="s">
        <v>117</v>
      </c>
      <c r="J101" s="6" t="s">
        <v>85</v>
      </c>
      <c r="K101" s="8" t="s">
        <v>91</v>
      </c>
      <c r="L101" s="6" t="n">
        <v>2398.62</v>
      </c>
      <c r="M101" s="8" t="s">
        <v>46</v>
      </c>
    </row>
    <row r="102" customFormat="false" ht="15" hidden="false" customHeight="false" outlineLevel="0" collapsed="false">
      <c r="A102" s="6" t="n">
        <v>101</v>
      </c>
      <c r="B102" s="6" t="s">
        <v>305</v>
      </c>
      <c r="C102" s="6" t="s">
        <v>93</v>
      </c>
      <c r="D102" s="6" t="s">
        <v>306</v>
      </c>
      <c r="E102" s="6" t="s">
        <v>103</v>
      </c>
      <c r="F102" s="6" t="s">
        <v>104</v>
      </c>
      <c r="G102" s="6" t="s">
        <v>105</v>
      </c>
      <c r="H102" s="6" t="s">
        <v>185</v>
      </c>
      <c r="I102" s="6" t="s">
        <v>186</v>
      </c>
      <c r="J102" s="6" t="s">
        <v>105</v>
      </c>
      <c r="K102" s="7" t="s">
        <v>35</v>
      </c>
      <c r="L102" s="6" t="n">
        <v>442.04</v>
      </c>
      <c r="M102" s="7" t="s">
        <v>36</v>
      </c>
    </row>
    <row r="103" customFormat="false" ht="15" hidden="false" customHeight="false" outlineLevel="0" collapsed="false">
      <c r="A103" s="6" t="n">
        <v>102</v>
      </c>
      <c r="B103" s="6" t="s">
        <v>307</v>
      </c>
      <c r="C103" s="6" t="s">
        <v>153</v>
      </c>
      <c r="D103" s="6" t="s">
        <v>308</v>
      </c>
      <c r="E103" s="6" t="s">
        <v>80</v>
      </c>
      <c r="F103" s="6" t="s">
        <v>81</v>
      </c>
      <c r="G103" s="6" t="s">
        <v>82</v>
      </c>
      <c r="H103" s="6" t="s">
        <v>182</v>
      </c>
      <c r="I103" s="6" t="s">
        <v>183</v>
      </c>
      <c r="J103" s="6" t="s">
        <v>90</v>
      </c>
      <c r="K103" s="8" t="s">
        <v>91</v>
      </c>
      <c r="L103" s="6" t="n">
        <v>463.04</v>
      </c>
      <c r="M103" s="8" t="s">
        <v>46</v>
      </c>
    </row>
    <row r="104" customFormat="false" ht="15" hidden="false" customHeight="false" outlineLevel="0" collapsed="false">
      <c r="A104" s="6" t="n">
        <v>103</v>
      </c>
      <c r="B104" s="6" t="s">
        <v>309</v>
      </c>
      <c r="C104" s="6" t="s">
        <v>38</v>
      </c>
      <c r="D104" s="6" t="s">
        <v>310</v>
      </c>
      <c r="E104" s="6" t="s">
        <v>80</v>
      </c>
      <c r="F104" s="6" t="s">
        <v>81</v>
      </c>
      <c r="G104" s="6" t="s">
        <v>82</v>
      </c>
      <c r="H104" s="6" t="s">
        <v>161</v>
      </c>
      <c r="I104" s="6" t="s">
        <v>162</v>
      </c>
      <c r="J104" s="6" t="s">
        <v>163</v>
      </c>
      <c r="K104" s="7" t="s">
        <v>35</v>
      </c>
      <c r="L104" s="6" t="n">
        <v>2399.01</v>
      </c>
      <c r="M104" s="7" t="s">
        <v>36</v>
      </c>
    </row>
    <row r="105" customFormat="false" ht="15" hidden="false" customHeight="false" outlineLevel="0" collapsed="false">
      <c r="A105" s="6" t="n">
        <v>104</v>
      </c>
      <c r="B105" s="6" t="s">
        <v>311</v>
      </c>
      <c r="C105" s="6" t="s">
        <v>78</v>
      </c>
      <c r="D105" s="6" t="s">
        <v>312</v>
      </c>
      <c r="E105" s="6" t="s">
        <v>95</v>
      </c>
      <c r="F105" s="6" t="s">
        <v>96</v>
      </c>
      <c r="G105" s="6" t="s">
        <v>97</v>
      </c>
      <c r="H105" s="6" t="s">
        <v>112</v>
      </c>
      <c r="I105" s="6" t="s">
        <v>113</v>
      </c>
      <c r="J105" s="6" t="s">
        <v>100</v>
      </c>
      <c r="K105" s="7" t="s">
        <v>35</v>
      </c>
      <c r="L105" s="6" t="n">
        <v>688.43</v>
      </c>
      <c r="M105" s="7" t="s">
        <v>36</v>
      </c>
    </row>
    <row r="106" customFormat="false" ht="15" hidden="false" customHeight="false" outlineLevel="0" collapsed="false">
      <c r="A106" s="6" t="n">
        <v>105</v>
      </c>
      <c r="B106" s="6" t="s">
        <v>313</v>
      </c>
      <c r="C106" s="6" t="s">
        <v>38</v>
      </c>
      <c r="D106" s="6" t="s">
        <v>138</v>
      </c>
      <c r="E106" s="6" t="s">
        <v>54</v>
      </c>
      <c r="F106" s="6" t="s">
        <v>55</v>
      </c>
      <c r="G106" s="6" t="s">
        <v>56</v>
      </c>
      <c r="H106" s="6" t="s">
        <v>295</v>
      </c>
      <c r="I106" s="6" t="s">
        <v>296</v>
      </c>
      <c r="J106" s="6" t="s">
        <v>122</v>
      </c>
      <c r="K106" s="8" t="s">
        <v>91</v>
      </c>
      <c r="L106" s="6" t="n">
        <v>3266.57</v>
      </c>
      <c r="M106" s="8" t="s">
        <v>46</v>
      </c>
    </row>
    <row r="107" customFormat="false" ht="15" hidden="false" customHeight="false" outlineLevel="0" collapsed="false">
      <c r="A107" s="6" t="n">
        <v>106</v>
      </c>
      <c r="B107" s="6" t="s">
        <v>314</v>
      </c>
      <c r="C107" s="6" t="s">
        <v>78</v>
      </c>
      <c r="D107" s="6" t="s">
        <v>315</v>
      </c>
      <c r="E107" s="6" t="s">
        <v>120</v>
      </c>
      <c r="F107" s="6" t="s">
        <v>121</v>
      </c>
      <c r="G107" s="6" t="s">
        <v>122</v>
      </c>
      <c r="H107" s="6" t="s">
        <v>295</v>
      </c>
      <c r="I107" s="6" t="s">
        <v>296</v>
      </c>
      <c r="J107" s="6" t="s">
        <v>122</v>
      </c>
      <c r="K107" s="7" t="s">
        <v>35</v>
      </c>
      <c r="L107" s="6" t="n">
        <v>1975.61</v>
      </c>
      <c r="M107" s="7" t="s">
        <v>36</v>
      </c>
    </row>
    <row r="108" customFormat="false" ht="15" hidden="false" customHeight="false" outlineLevel="0" collapsed="false">
      <c r="A108" s="6" t="n">
        <v>107</v>
      </c>
      <c r="B108" s="6" t="s">
        <v>316</v>
      </c>
      <c r="C108" s="6" t="s">
        <v>50</v>
      </c>
      <c r="D108" s="6" t="s">
        <v>317</v>
      </c>
      <c r="E108" s="6" t="s">
        <v>103</v>
      </c>
      <c r="F108" s="6" t="s">
        <v>104</v>
      </c>
      <c r="G108" s="6" t="s">
        <v>105</v>
      </c>
      <c r="H108" s="6" t="s">
        <v>185</v>
      </c>
      <c r="I108" s="6" t="s">
        <v>186</v>
      </c>
      <c r="J108" s="6" t="s">
        <v>105</v>
      </c>
      <c r="K108" s="7" t="s">
        <v>35</v>
      </c>
      <c r="L108" s="6" t="n">
        <v>2754.07</v>
      </c>
      <c r="M108" s="7" t="s">
        <v>36</v>
      </c>
    </row>
    <row r="109" customFormat="false" ht="15" hidden="false" customHeight="false" outlineLevel="0" collapsed="false">
      <c r="A109" s="6" t="n">
        <v>108</v>
      </c>
      <c r="B109" s="6" t="s">
        <v>318</v>
      </c>
      <c r="C109" s="6" t="s">
        <v>78</v>
      </c>
      <c r="D109" s="6" t="s">
        <v>319</v>
      </c>
      <c r="E109" s="6" t="s">
        <v>127</v>
      </c>
      <c r="F109" s="6" t="s">
        <v>128</v>
      </c>
      <c r="G109" s="6" t="s">
        <v>129</v>
      </c>
      <c r="H109" s="6" t="s">
        <v>132</v>
      </c>
      <c r="I109" s="6" t="s">
        <v>133</v>
      </c>
      <c r="J109" s="6" t="s">
        <v>134</v>
      </c>
      <c r="K109" s="7" t="s">
        <v>35</v>
      </c>
      <c r="L109" s="6" t="n">
        <v>2659.1</v>
      </c>
      <c r="M109" s="7" t="s">
        <v>36</v>
      </c>
    </row>
    <row r="110" customFormat="false" ht="15" hidden="false" customHeight="false" outlineLevel="0" collapsed="false">
      <c r="A110" s="6" t="n">
        <v>109</v>
      </c>
      <c r="B110" s="6" t="s">
        <v>320</v>
      </c>
      <c r="C110" s="6" t="s">
        <v>50</v>
      </c>
      <c r="D110" s="6" t="s">
        <v>321</v>
      </c>
      <c r="E110" s="6" t="s">
        <v>62</v>
      </c>
      <c r="F110" s="6" t="s">
        <v>63</v>
      </c>
      <c r="G110" s="6" t="s">
        <v>64</v>
      </c>
      <c r="H110" s="6" t="s">
        <v>112</v>
      </c>
      <c r="I110" s="6" t="s">
        <v>113</v>
      </c>
      <c r="J110" s="6" t="s">
        <v>100</v>
      </c>
      <c r="K110" s="8" t="s">
        <v>45</v>
      </c>
      <c r="L110" s="6" t="n">
        <v>417</v>
      </c>
      <c r="M110" s="8" t="s">
        <v>46</v>
      </c>
    </row>
    <row r="111" customFormat="false" ht="15" hidden="false" customHeight="false" outlineLevel="0" collapsed="false">
      <c r="A111" s="6" t="n">
        <v>110</v>
      </c>
      <c r="B111" s="6" t="s">
        <v>322</v>
      </c>
      <c r="C111" s="6" t="s">
        <v>28</v>
      </c>
      <c r="D111" s="6" t="s">
        <v>323</v>
      </c>
      <c r="E111" s="6" t="s">
        <v>139</v>
      </c>
      <c r="F111" s="6" t="s">
        <v>140</v>
      </c>
      <c r="G111" s="6" t="s">
        <v>141</v>
      </c>
      <c r="H111" s="6" t="s">
        <v>132</v>
      </c>
      <c r="I111" s="6" t="s">
        <v>133</v>
      </c>
      <c r="J111" s="6" t="s">
        <v>134</v>
      </c>
      <c r="K111" s="7" t="s">
        <v>35</v>
      </c>
      <c r="L111" s="6" t="n">
        <v>1714.54</v>
      </c>
      <c r="M111" s="7" t="s">
        <v>36</v>
      </c>
    </row>
    <row r="112" customFormat="false" ht="15" hidden="false" customHeight="false" outlineLevel="0" collapsed="false">
      <c r="A112" s="6" t="n">
        <v>111</v>
      </c>
      <c r="B112" s="6" t="s">
        <v>324</v>
      </c>
      <c r="C112" s="6" t="s">
        <v>153</v>
      </c>
      <c r="D112" s="6" t="s">
        <v>325</v>
      </c>
      <c r="E112" s="6" t="s">
        <v>62</v>
      </c>
      <c r="F112" s="6" t="s">
        <v>63</v>
      </c>
      <c r="G112" s="6" t="s">
        <v>64</v>
      </c>
      <c r="H112" s="6" t="s">
        <v>98</v>
      </c>
      <c r="I112" s="6" t="s">
        <v>99</v>
      </c>
      <c r="J112" s="6" t="s">
        <v>100</v>
      </c>
      <c r="K112" s="9" t="s">
        <v>68</v>
      </c>
      <c r="L112" s="6" t="n">
        <v>3072.73</v>
      </c>
      <c r="M112" s="9" t="s">
        <v>69</v>
      </c>
    </row>
    <row r="113" customFormat="false" ht="15" hidden="false" customHeight="false" outlineLevel="0" collapsed="false">
      <c r="A113" s="6" t="n">
        <v>112</v>
      </c>
      <c r="B113" s="6" t="s">
        <v>326</v>
      </c>
      <c r="C113" s="6" t="s">
        <v>38</v>
      </c>
      <c r="D113" s="6" t="s">
        <v>160</v>
      </c>
      <c r="E113" s="6" t="s">
        <v>88</v>
      </c>
      <c r="F113" s="6" t="s">
        <v>89</v>
      </c>
      <c r="G113" s="6" t="s">
        <v>90</v>
      </c>
      <c r="H113" s="6" t="s">
        <v>185</v>
      </c>
      <c r="I113" s="6" t="s">
        <v>186</v>
      </c>
      <c r="J113" s="6" t="s">
        <v>105</v>
      </c>
      <c r="K113" s="8" t="s">
        <v>91</v>
      </c>
      <c r="L113" s="6" t="n">
        <v>1780.67</v>
      </c>
      <c r="M113" s="8" t="s">
        <v>46</v>
      </c>
    </row>
    <row r="114" customFormat="false" ht="15" hidden="false" customHeight="false" outlineLevel="0" collapsed="false">
      <c r="A114" s="6" t="n">
        <v>113</v>
      </c>
      <c r="B114" s="6" t="s">
        <v>327</v>
      </c>
      <c r="C114" s="6" t="s">
        <v>78</v>
      </c>
      <c r="D114" s="6" t="s">
        <v>328</v>
      </c>
      <c r="E114" s="6" t="s">
        <v>40</v>
      </c>
      <c r="F114" s="6" t="s">
        <v>41</v>
      </c>
      <c r="G114" s="6" t="s">
        <v>42</v>
      </c>
      <c r="H114" s="6" t="s">
        <v>116</v>
      </c>
      <c r="I114" s="6" t="s">
        <v>117</v>
      </c>
      <c r="J114" s="6" t="s">
        <v>85</v>
      </c>
      <c r="K114" s="8" t="s">
        <v>91</v>
      </c>
      <c r="L114" s="6" t="n">
        <v>2007.93</v>
      </c>
      <c r="M114" s="8" t="s">
        <v>46</v>
      </c>
    </row>
    <row r="115" customFormat="false" ht="15" hidden="false" customHeight="false" outlineLevel="0" collapsed="false">
      <c r="A115" s="6" t="n">
        <v>114</v>
      </c>
      <c r="B115" s="6" t="s">
        <v>329</v>
      </c>
      <c r="C115" s="6" t="s">
        <v>78</v>
      </c>
      <c r="D115" s="6" t="s">
        <v>330</v>
      </c>
      <c r="E115" s="6" t="s">
        <v>127</v>
      </c>
      <c r="F115" s="6" t="s">
        <v>128</v>
      </c>
      <c r="G115" s="6" t="s">
        <v>129</v>
      </c>
      <c r="H115" s="6" t="s">
        <v>83</v>
      </c>
      <c r="I115" s="6" t="s">
        <v>84</v>
      </c>
      <c r="J115" s="6" t="s">
        <v>85</v>
      </c>
      <c r="K115" s="8" t="s">
        <v>91</v>
      </c>
      <c r="L115" s="6" t="n">
        <v>2017.29</v>
      </c>
      <c r="M115" s="8" t="s">
        <v>46</v>
      </c>
    </row>
    <row r="116" customFormat="false" ht="15" hidden="false" customHeight="false" outlineLevel="0" collapsed="false">
      <c r="A116" s="6" t="n">
        <v>115</v>
      </c>
      <c r="B116" s="6" t="s">
        <v>331</v>
      </c>
      <c r="C116" s="6" t="s">
        <v>78</v>
      </c>
      <c r="D116" s="6" t="s">
        <v>332</v>
      </c>
      <c r="E116" s="6" t="s">
        <v>80</v>
      </c>
      <c r="F116" s="6" t="s">
        <v>81</v>
      </c>
      <c r="G116" s="6" t="s">
        <v>82</v>
      </c>
      <c r="H116" s="6" t="s">
        <v>83</v>
      </c>
      <c r="I116" s="6" t="s">
        <v>84</v>
      </c>
      <c r="J116" s="6" t="s">
        <v>85</v>
      </c>
      <c r="K116" s="8" t="s">
        <v>45</v>
      </c>
      <c r="L116" s="6" t="n">
        <v>2102.31</v>
      </c>
      <c r="M116" s="8" t="s">
        <v>46</v>
      </c>
    </row>
    <row r="117" customFormat="false" ht="15" hidden="false" customHeight="false" outlineLevel="0" collapsed="false">
      <c r="A117" s="6" t="n">
        <v>116</v>
      </c>
      <c r="B117" s="6" t="s">
        <v>333</v>
      </c>
      <c r="C117" s="6" t="s">
        <v>28</v>
      </c>
      <c r="D117" s="6" t="s">
        <v>334</v>
      </c>
      <c r="E117" s="6" t="s">
        <v>80</v>
      </c>
      <c r="F117" s="6" t="s">
        <v>81</v>
      </c>
      <c r="G117" s="6" t="s">
        <v>82</v>
      </c>
      <c r="H117" s="6" t="s">
        <v>83</v>
      </c>
      <c r="I117" s="6" t="s">
        <v>84</v>
      </c>
      <c r="J117" s="6" t="s">
        <v>85</v>
      </c>
      <c r="K117" s="8" t="s">
        <v>45</v>
      </c>
      <c r="L117" s="6" t="n">
        <v>658.38</v>
      </c>
      <c r="M117" s="8" t="s">
        <v>46</v>
      </c>
    </row>
    <row r="118" customFormat="false" ht="15" hidden="false" customHeight="false" outlineLevel="0" collapsed="false">
      <c r="A118" s="6" t="n">
        <v>117</v>
      </c>
      <c r="B118" s="6" t="s">
        <v>335</v>
      </c>
      <c r="C118" s="6" t="s">
        <v>93</v>
      </c>
      <c r="D118" s="6" t="s">
        <v>126</v>
      </c>
      <c r="E118" s="6" t="s">
        <v>72</v>
      </c>
      <c r="F118" s="6" t="s">
        <v>73</v>
      </c>
      <c r="G118" s="6" t="s">
        <v>64</v>
      </c>
      <c r="H118" s="6" t="s">
        <v>112</v>
      </c>
      <c r="I118" s="6" t="s">
        <v>113</v>
      </c>
      <c r="J118" s="6" t="s">
        <v>100</v>
      </c>
      <c r="K118" s="9" t="s">
        <v>68</v>
      </c>
      <c r="L118" s="6" t="n">
        <v>178.05</v>
      </c>
      <c r="M118" s="9" t="s">
        <v>69</v>
      </c>
    </row>
    <row r="119" customFormat="false" ht="15" hidden="false" customHeight="false" outlineLevel="0" collapsed="false">
      <c r="A119" s="6" t="n">
        <v>118</v>
      </c>
      <c r="B119" s="6" t="s">
        <v>336</v>
      </c>
      <c r="C119" s="6" t="s">
        <v>50</v>
      </c>
      <c r="D119" s="6" t="s">
        <v>337</v>
      </c>
      <c r="E119" s="6" t="s">
        <v>103</v>
      </c>
      <c r="F119" s="6" t="s">
        <v>104</v>
      </c>
      <c r="G119" s="6" t="s">
        <v>105</v>
      </c>
      <c r="H119" s="6" t="s">
        <v>161</v>
      </c>
      <c r="I119" s="6" t="s">
        <v>162</v>
      </c>
      <c r="J119" s="6" t="s">
        <v>163</v>
      </c>
      <c r="K119" s="8" t="s">
        <v>91</v>
      </c>
      <c r="L119" s="6" t="n">
        <v>1967.68</v>
      </c>
      <c r="M119" s="8" t="s">
        <v>46</v>
      </c>
    </row>
    <row r="120" customFormat="false" ht="15" hidden="false" customHeight="false" outlineLevel="0" collapsed="false">
      <c r="A120" s="6" t="n">
        <v>119</v>
      </c>
      <c r="B120" s="6" t="s">
        <v>338</v>
      </c>
      <c r="C120" s="6" t="s">
        <v>50</v>
      </c>
      <c r="D120" s="6" t="s">
        <v>339</v>
      </c>
      <c r="E120" s="6" t="s">
        <v>54</v>
      </c>
      <c r="F120" s="6" t="s">
        <v>55</v>
      </c>
      <c r="G120" s="6" t="s">
        <v>56</v>
      </c>
      <c r="H120" s="6" t="s">
        <v>57</v>
      </c>
      <c r="I120" s="6" t="s">
        <v>58</v>
      </c>
      <c r="J120" s="6" t="s">
        <v>59</v>
      </c>
      <c r="K120" s="7" t="s">
        <v>35</v>
      </c>
      <c r="L120" s="6" t="n">
        <v>2426.71</v>
      </c>
      <c r="M120" s="7" t="s">
        <v>36</v>
      </c>
    </row>
    <row r="121" customFormat="false" ht="15" hidden="false" customHeight="false" outlineLevel="0" collapsed="false">
      <c r="A121" s="6" t="n">
        <v>120</v>
      </c>
      <c r="B121" s="6" t="s">
        <v>340</v>
      </c>
      <c r="C121" s="6" t="s">
        <v>50</v>
      </c>
      <c r="D121" s="6" t="s">
        <v>294</v>
      </c>
      <c r="E121" s="6" t="s">
        <v>54</v>
      </c>
      <c r="F121" s="6" t="s">
        <v>55</v>
      </c>
      <c r="G121" s="6" t="s">
        <v>56</v>
      </c>
      <c r="H121" s="6" t="s">
        <v>98</v>
      </c>
      <c r="I121" s="6" t="s">
        <v>99</v>
      </c>
      <c r="J121" s="6" t="s">
        <v>100</v>
      </c>
      <c r="K121" s="7" t="s">
        <v>35</v>
      </c>
      <c r="L121" s="6" t="n">
        <v>2134.67</v>
      </c>
      <c r="M121" s="7" t="s">
        <v>36</v>
      </c>
    </row>
    <row r="122" customFormat="false" ht="15" hidden="false" customHeight="false" outlineLevel="0" collapsed="false">
      <c r="A122" s="6" t="n">
        <v>121</v>
      </c>
      <c r="B122" s="6" t="s">
        <v>341</v>
      </c>
      <c r="C122" s="6" t="s">
        <v>38</v>
      </c>
      <c r="D122" s="6" t="s">
        <v>342</v>
      </c>
      <c r="E122" s="6" t="s">
        <v>139</v>
      </c>
      <c r="F122" s="6" t="s">
        <v>140</v>
      </c>
      <c r="G122" s="6" t="s">
        <v>141</v>
      </c>
      <c r="H122" s="6" t="s">
        <v>83</v>
      </c>
      <c r="I122" s="6" t="s">
        <v>84</v>
      </c>
      <c r="J122" s="6" t="s">
        <v>85</v>
      </c>
      <c r="K122" s="8" t="s">
        <v>45</v>
      </c>
      <c r="L122" s="6" t="n">
        <v>1759.66</v>
      </c>
      <c r="M122" s="8" t="s">
        <v>46</v>
      </c>
    </row>
    <row r="123" customFormat="false" ht="15" hidden="false" customHeight="false" outlineLevel="0" collapsed="false">
      <c r="A123" s="6" t="n">
        <v>122</v>
      </c>
      <c r="B123" s="6" t="s">
        <v>343</v>
      </c>
      <c r="C123" s="6" t="s">
        <v>28</v>
      </c>
      <c r="D123" s="6" t="s">
        <v>344</v>
      </c>
      <c r="E123" s="6" t="s">
        <v>103</v>
      </c>
      <c r="F123" s="6" t="s">
        <v>104</v>
      </c>
      <c r="G123" s="6" t="s">
        <v>105</v>
      </c>
      <c r="H123" s="6" t="s">
        <v>185</v>
      </c>
      <c r="I123" s="6" t="s">
        <v>186</v>
      </c>
      <c r="J123" s="6" t="s">
        <v>105</v>
      </c>
      <c r="K123" s="7" t="s">
        <v>35</v>
      </c>
      <c r="L123" s="6" t="n">
        <v>2753.87</v>
      </c>
      <c r="M123" s="7" t="s">
        <v>36</v>
      </c>
    </row>
    <row r="124" customFormat="false" ht="15" hidden="false" customHeight="false" outlineLevel="0" collapsed="false">
      <c r="A124" s="6" t="n">
        <v>123</v>
      </c>
      <c r="B124" s="6" t="s">
        <v>345</v>
      </c>
      <c r="C124" s="6" t="s">
        <v>78</v>
      </c>
      <c r="D124" s="6" t="s">
        <v>346</v>
      </c>
      <c r="E124" s="6" t="s">
        <v>88</v>
      </c>
      <c r="F124" s="6" t="s">
        <v>89</v>
      </c>
      <c r="G124" s="6" t="s">
        <v>90</v>
      </c>
      <c r="H124" s="6" t="s">
        <v>182</v>
      </c>
      <c r="I124" s="6" t="s">
        <v>183</v>
      </c>
      <c r="J124" s="6" t="s">
        <v>90</v>
      </c>
      <c r="K124" s="7" t="s">
        <v>35</v>
      </c>
      <c r="L124" s="6" t="n">
        <v>457.14</v>
      </c>
      <c r="M124" s="7" t="s">
        <v>36</v>
      </c>
    </row>
    <row r="125" customFormat="false" ht="15" hidden="false" customHeight="false" outlineLevel="0" collapsed="false">
      <c r="A125" s="6" t="n">
        <v>124</v>
      </c>
      <c r="B125" s="6" t="s">
        <v>347</v>
      </c>
      <c r="C125" s="6" t="s">
        <v>28</v>
      </c>
      <c r="D125" s="6" t="s">
        <v>348</v>
      </c>
      <c r="E125" s="6" t="s">
        <v>54</v>
      </c>
      <c r="F125" s="6" t="s">
        <v>55</v>
      </c>
      <c r="G125" s="6" t="s">
        <v>56</v>
      </c>
      <c r="H125" s="6" t="s">
        <v>98</v>
      </c>
      <c r="I125" s="6" t="s">
        <v>99</v>
      </c>
      <c r="J125" s="6" t="s">
        <v>100</v>
      </c>
      <c r="K125" s="7" t="s">
        <v>35</v>
      </c>
      <c r="L125" s="6" t="n">
        <v>1675.3</v>
      </c>
      <c r="M125" s="7" t="s">
        <v>36</v>
      </c>
    </row>
    <row r="126" customFormat="false" ht="15" hidden="false" customHeight="false" outlineLevel="0" collapsed="false">
      <c r="A126" s="6" t="n">
        <v>125</v>
      </c>
      <c r="B126" s="6" t="s">
        <v>349</v>
      </c>
      <c r="C126" s="6" t="s">
        <v>38</v>
      </c>
      <c r="D126" s="6" t="s">
        <v>350</v>
      </c>
      <c r="E126" s="6" t="s">
        <v>139</v>
      </c>
      <c r="F126" s="6" t="s">
        <v>140</v>
      </c>
      <c r="G126" s="6" t="s">
        <v>141</v>
      </c>
      <c r="H126" s="6" t="s">
        <v>132</v>
      </c>
      <c r="I126" s="6" t="s">
        <v>133</v>
      </c>
      <c r="J126" s="6" t="s">
        <v>134</v>
      </c>
      <c r="K126" s="7" t="s">
        <v>35</v>
      </c>
      <c r="L126" s="6" t="n">
        <v>2192.82</v>
      </c>
      <c r="M126" s="7" t="s">
        <v>36</v>
      </c>
    </row>
    <row r="127" customFormat="false" ht="15" hidden="false" customHeight="false" outlineLevel="0" collapsed="false">
      <c r="A127" s="6" t="n">
        <v>126</v>
      </c>
      <c r="B127" s="6" t="s">
        <v>351</v>
      </c>
      <c r="C127" s="6" t="s">
        <v>153</v>
      </c>
      <c r="D127" s="6" t="s">
        <v>352</v>
      </c>
      <c r="E127" s="6" t="s">
        <v>88</v>
      </c>
      <c r="F127" s="6" t="s">
        <v>89</v>
      </c>
      <c r="G127" s="6" t="s">
        <v>90</v>
      </c>
      <c r="H127" s="6" t="s">
        <v>106</v>
      </c>
      <c r="I127" s="6" t="s">
        <v>107</v>
      </c>
      <c r="J127" s="6" t="s">
        <v>90</v>
      </c>
      <c r="K127" s="8" t="s">
        <v>45</v>
      </c>
      <c r="L127" s="6" t="n">
        <v>3259.64</v>
      </c>
      <c r="M127" s="8" t="s">
        <v>46</v>
      </c>
    </row>
    <row r="128" customFormat="false" ht="15" hidden="false" customHeight="false" outlineLevel="0" collapsed="false">
      <c r="A128" s="6" t="n">
        <v>127</v>
      </c>
      <c r="B128" s="6" t="s">
        <v>353</v>
      </c>
      <c r="C128" s="6" t="s">
        <v>78</v>
      </c>
      <c r="D128" s="6" t="s">
        <v>354</v>
      </c>
      <c r="E128" s="6" t="s">
        <v>80</v>
      </c>
      <c r="F128" s="6" t="s">
        <v>81</v>
      </c>
      <c r="G128" s="6" t="s">
        <v>82</v>
      </c>
      <c r="H128" s="6" t="s">
        <v>161</v>
      </c>
      <c r="I128" s="6" t="s">
        <v>162</v>
      </c>
      <c r="J128" s="6" t="s">
        <v>163</v>
      </c>
      <c r="K128" s="7" t="s">
        <v>35</v>
      </c>
      <c r="L128" s="6" t="n">
        <v>350.76</v>
      </c>
      <c r="M128" s="7" t="s">
        <v>36</v>
      </c>
    </row>
    <row r="129" customFormat="false" ht="15" hidden="false" customHeight="false" outlineLevel="0" collapsed="false">
      <c r="A129" s="6" t="n">
        <v>128</v>
      </c>
      <c r="B129" s="6" t="s">
        <v>355</v>
      </c>
      <c r="C129" s="6" t="s">
        <v>38</v>
      </c>
      <c r="D129" s="6" t="s">
        <v>356</v>
      </c>
      <c r="E129" s="6" t="s">
        <v>139</v>
      </c>
      <c r="F129" s="6" t="s">
        <v>140</v>
      </c>
      <c r="G129" s="6" t="s">
        <v>141</v>
      </c>
      <c r="H129" s="6" t="s">
        <v>43</v>
      </c>
      <c r="I129" s="6" t="s">
        <v>44</v>
      </c>
      <c r="J129" s="6" t="s">
        <v>42</v>
      </c>
      <c r="K129" s="8" t="s">
        <v>91</v>
      </c>
      <c r="L129" s="6" t="n">
        <v>3492.66</v>
      </c>
      <c r="M129" s="8" t="s">
        <v>46</v>
      </c>
    </row>
    <row r="130" customFormat="false" ht="15" hidden="false" customHeight="false" outlineLevel="0" collapsed="false">
      <c r="A130" s="6" t="n">
        <v>129</v>
      </c>
      <c r="B130" s="6" t="s">
        <v>357</v>
      </c>
      <c r="C130" s="6" t="s">
        <v>28</v>
      </c>
      <c r="D130" s="6" t="s">
        <v>358</v>
      </c>
      <c r="E130" s="6" t="s">
        <v>139</v>
      </c>
      <c r="F130" s="6" t="s">
        <v>140</v>
      </c>
      <c r="G130" s="6" t="s">
        <v>141</v>
      </c>
      <c r="H130" s="6" t="s">
        <v>116</v>
      </c>
      <c r="I130" s="6" t="s">
        <v>117</v>
      </c>
      <c r="J130" s="6" t="s">
        <v>85</v>
      </c>
      <c r="K130" s="7" t="s">
        <v>35</v>
      </c>
      <c r="L130" s="6" t="n">
        <v>2469.19</v>
      </c>
      <c r="M130" s="7" t="s">
        <v>36</v>
      </c>
    </row>
    <row r="131" customFormat="false" ht="15" hidden="false" customHeight="false" outlineLevel="0" collapsed="false">
      <c r="A131" s="6" t="n">
        <v>130</v>
      </c>
      <c r="B131" s="6" t="s">
        <v>359</v>
      </c>
      <c r="C131" s="6" t="s">
        <v>38</v>
      </c>
      <c r="D131" s="6" t="s">
        <v>323</v>
      </c>
      <c r="E131" s="6" t="s">
        <v>120</v>
      </c>
      <c r="F131" s="6" t="s">
        <v>121</v>
      </c>
      <c r="G131" s="6" t="s">
        <v>122</v>
      </c>
      <c r="H131" s="6" t="s">
        <v>295</v>
      </c>
      <c r="I131" s="6" t="s">
        <v>296</v>
      </c>
      <c r="J131" s="6" t="s">
        <v>122</v>
      </c>
      <c r="K131" s="7" t="s">
        <v>35</v>
      </c>
      <c r="L131" s="6" t="n">
        <v>1474.03</v>
      </c>
      <c r="M131" s="7" t="s">
        <v>36</v>
      </c>
    </row>
    <row r="132" customFormat="false" ht="15" hidden="false" customHeight="false" outlineLevel="0" collapsed="false">
      <c r="A132" s="6" t="n">
        <v>131</v>
      </c>
      <c r="B132" s="6" t="s">
        <v>360</v>
      </c>
      <c r="C132" s="6" t="s">
        <v>50</v>
      </c>
      <c r="D132" s="6" t="s">
        <v>361</v>
      </c>
      <c r="E132" s="6" t="s">
        <v>62</v>
      </c>
      <c r="F132" s="6" t="s">
        <v>63</v>
      </c>
      <c r="G132" s="6" t="s">
        <v>64</v>
      </c>
      <c r="H132" s="6" t="s">
        <v>83</v>
      </c>
      <c r="I132" s="6" t="s">
        <v>84</v>
      </c>
      <c r="J132" s="6" t="s">
        <v>85</v>
      </c>
      <c r="K132" s="8" t="s">
        <v>91</v>
      </c>
      <c r="L132" s="6" t="n">
        <v>1695.98</v>
      </c>
      <c r="M132" s="8" t="s">
        <v>46</v>
      </c>
    </row>
    <row r="133" customFormat="false" ht="15" hidden="false" customHeight="false" outlineLevel="0" collapsed="false">
      <c r="A133" s="6" t="n">
        <v>132</v>
      </c>
      <c r="B133" s="6" t="s">
        <v>362</v>
      </c>
      <c r="C133" s="6" t="s">
        <v>28</v>
      </c>
      <c r="D133" s="6" t="s">
        <v>363</v>
      </c>
      <c r="E133" s="6" t="s">
        <v>80</v>
      </c>
      <c r="F133" s="6" t="s">
        <v>81</v>
      </c>
      <c r="G133" s="6" t="s">
        <v>82</v>
      </c>
      <c r="H133" s="6" t="s">
        <v>116</v>
      </c>
      <c r="I133" s="6" t="s">
        <v>117</v>
      </c>
      <c r="J133" s="6" t="s">
        <v>85</v>
      </c>
      <c r="K133" s="7" t="s">
        <v>35</v>
      </c>
      <c r="L133" s="6" t="n">
        <v>1118.43</v>
      </c>
      <c r="M133" s="7" t="s">
        <v>36</v>
      </c>
    </row>
    <row r="134" customFormat="false" ht="15" hidden="false" customHeight="false" outlineLevel="0" collapsed="false">
      <c r="A134" s="6" t="n">
        <v>133</v>
      </c>
      <c r="B134" s="6" t="s">
        <v>364</v>
      </c>
      <c r="C134" s="6" t="s">
        <v>78</v>
      </c>
      <c r="D134" s="6" t="s">
        <v>365</v>
      </c>
      <c r="E134" s="6" t="s">
        <v>62</v>
      </c>
      <c r="F134" s="6" t="s">
        <v>63</v>
      </c>
      <c r="G134" s="6" t="s">
        <v>64</v>
      </c>
      <c r="H134" s="6" t="s">
        <v>65</v>
      </c>
      <c r="I134" s="6" t="s">
        <v>66</v>
      </c>
      <c r="J134" s="6" t="s">
        <v>67</v>
      </c>
      <c r="K134" s="9" t="s">
        <v>68</v>
      </c>
      <c r="L134" s="6" t="n">
        <v>1576.43</v>
      </c>
      <c r="M134" s="9" t="s">
        <v>69</v>
      </c>
    </row>
    <row r="135" customFormat="false" ht="15" hidden="false" customHeight="false" outlineLevel="0" collapsed="false">
      <c r="A135" s="6" t="n">
        <v>134</v>
      </c>
      <c r="B135" s="6" t="s">
        <v>366</v>
      </c>
      <c r="C135" s="6" t="s">
        <v>78</v>
      </c>
      <c r="D135" s="6" t="s">
        <v>367</v>
      </c>
      <c r="E135" s="6" t="s">
        <v>139</v>
      </c>
      <c r="F135" s="6" t="s">
        <v>140</v>
      </c>
      <c r="G135" s="6" t="s">
        <v>141</v>
      </c>
      <c r="H135" s="6" t="s">
        <v>132</v>
      </c>
      <c r="I135" s="6" t="s">
        <v>133</v>
      </c>
      <c r="J135" s="6" t="s">
        <v>134</v>
      </c>
      <c r="K135" s="7" t="s">
        <v>35</v>
      </c>
      <c r="L135" s="6" t="n">
        <v>1331.74</v>
      </c>
      <c r="M135" s="7" t="s">
        <v>36</v>
      </c>
    </row>
    <row r="136" customFormat="false" ht="15" hidden="false" customHeight="false" outlineLevel="0" collapsed="false">
      <c r="A136" s="6" t="n">
        <v>135</v>
      </c>
      <c r="B136" s="6" t="s">
        <v>368</v>
      </c>
      <c r="C136" s="6" t="s">
        <v>93</v>
      </c>
      <c r="D136" s="6" t="s">
        <v>365</v>
      </c>
      <c r="E136" s="6" t="s">
        <v>88</v>
      </c>
      <c r="F136" s="6" t="s">
        <v>89</v>
      </c>
      <c r="G136" s="6" t="s">
        <v>90</v>
      </c>
      <c r="H136" s="6" t="s">
        <v>182</v>
      </c>
      <c r="I136" s="6" t="s">
        <v>183</v>
      </c>
      <c r="J136" s="6" t="s">
        <v>90</v>
      </c>
      <c r="K136" s="7" t="s">
        <v>35</v>
      </c>
      <c r="L136" s="6" t="n">
        <v>841.68</v>
      </c>
      <c r="M136" s="7" t="s">
        <v>36</v>
      </c>
    </row>
    <row r="137" customFormat="false" ht="15" hidden="false" customHeight="false" outlineLevel="0" collapsed="false">
      <c r="A137" s="6" t="n">
        <v>136</v>
      </c>
      <c r="B137" s="6" t="s">
        <v>369</v>
      </c>
      <c r="C137" s="6" t="s">
        <v>93</v>
      </c>
      <c r="D137" s="6" t="s">
        <v>29</v>
      </c>
      <c r="E137" s="6" t="s">
        <v>95</v>
      </c>
      <c r="F137" s="6" t="s">
        <v>96</v>
      </c>
      <c r="G137" s="6" t="s">
        <v>97</v>
      </c>
      <c r="H137" s="6" t="s">
        <v>98</v>
      </c>
      <c r="I137" s="6" t="s">
        <v>99</v>
      </c>
      <c r="J137" s="6" t="s">
        <v>100</v>
      </c>
      <c r="K137" s="9" t="s">
        <v>68</v>
      </c>
      <c r="L137" s="6" t="n">
        <v>566.41</v>
      </c>
      <c r="M137" s="9" t="s">
        <v>69</v>
      </c>
    </row>
    <row r="138" customFormat="false" ht="15" hidden="false" customHeight="false" outlineLevel="0" collapsed="false">
      <c r="A138" s="6" t="n">
        <v>137</v>
      </c>
      <c r="B138" s="6" t="s">
        <v>370</v>
      </c>
      <c r="C138" s="6" t="s">
        <v>28</v>
      </c>
      <c r="D138" s="6" t="s">
        <v>371</v>
      </c>
      <c r="E138" s="6" t="s">
        <v>95</v>
      </c>
      <c r="F138" s="6" t="s">
        <v>96</v>
      </c>
      <c r="G138" s="6" t="s">
        <v>97</v>
      </c>
      <c r="H138" s="6" t="s">
        <v>98</v>
      </c>
      <c r="I138" s="6" t="s">
        <v>99</v>
      </c>
      <c r="J138" s="6" t="s">
        <v>100</v>
      </c>
      <c r="K138" s="9" t="s">
        <v>68</v>
      </c>
      <c r="L138" s="6" t="n">
        <v>151.13</v>
      </c>
      <c r="M138" s="9" t="s">
        <v>69</v>
      </c>
    </row>
    <row r="139" customFormat="false" ht="15" hidden="false" customHeight="false" outlineLevel="0" collapsed="false">
      <c r="A139" s="6" t="n">
        <v>138</v>
      </c>
      <c r="B139" s="6" t="s">
        <v>372</v>
      </c>
      <c r="C139" s="6" t="s">
        <v>28</v>
      </c>
      <c r="D139" s="6" t="s">
        <v>373</v>
      </c>
      <c r="E139" s="6" t="s">
        <v>88</v>
      </c>
      <c r="F139" s="6" t="s">
        <v>89</v>
      </c>
      <c r="G139" s="6" t="s">
        <v>90</v>
      </c>
      <c r="H139" s="6" t="s">
        <v>182</v>
      </c>
      <c r="I139" s="6" t="s">
        <v>183</v>
      </c>
      <c r="J139" s="6" t="s">
        <v>90</v>
      </c>
      <c r="K139" s="7" t="s">
        <v>35</v>
      </c>
      <c r="L139" s="6" t="n">
        <v>551.96</v>
      </c>
      <c r="M139" s="7" t="s">
        <v>36</v>
      </c>
    </row>
    <row r="140" customFormat="false" ht="15" hidden="false" customHeight="false" outlineLevel="0" collapsed="false">
      <c r="A140" s="6" t="n">
        <v>139</v>
      </c>
      <c r="B140" s="6" t="s">
        <v>374</v>
      </c>
      <c r="C140" s="6" t="s">
        <v>50</v>
      </c>
      <c r="D140" s="6" t="s">
        <v>169</v>
      </c>
      <c r="E140" s="6" t="s">
        <v>103</v>
      </c>
      <c r="F140" s="6" t="s">
        <v>104</v>
      </c>
      <c r="G140" s="6" t="s">
        <v>105</v>
      </c>
      <c r="H140" s="6" t="s">
        <v>185</v>
      </c>
      <c r="I140" s="6" t="s">
        <v>186</v>
      </c>
      <c r="J140" s="6" t="s">
        <v>105</v>
      </c>
      <c r="K140" s="7" t="s">
        <v>35</v>
      </c>
      <c r="L140" s="6" t="n">
        <v>279.53</v>
      </c>
      <c r="M140" s="7" t="s">
        <v>36</v>
      </c>
    </row>
    <row r="141" customFormat="false" ht="15" hidden="false" customHeight="false" outlineLevel="0" collapsed="false">
      <c r="A141" s="6" t="n">
        <v>140</v>
      </c>
      <c r="B141" s="6" t="s">
        <v>375</v>
      </c>
      <c r="C141" s="6" t="s">
        <v>93</v>
      </c>
      <c r="D141" s="6" t="s">
        <v>102</v>
      </c>
      <c r="E141" s="6" t="s">
        <v>103</v>
      </c>
      <c r="F141" s="6" t="s">
        <v>104</v>
      </c>
      <c r="G141" s="6" t="s">
        <v>105</v>
      </c>
      <c r="H141" s="6" t="s">
        <v>185</v>
      </c>
      <c r="I141" s="6" t="s">
        <v>186</v>
      </c>
      <c r="J141" s="6" t="s">
        <v>105</v>
      </c>
      <c r="K141" s="7" t="s">
        <v>35</v>
      </c>
      <c r="L141" s="6" t="n">
        <v>187.47</v>
      </c>
      <c r="M141" s="7" t="s">
        <v>36</v>
      </c>
    </row>
    <row r="142" customFormat="false" ht="15" hidden="false" customHeight="false" outlineLevel="0" collapsed="false">
      <c r="A142" s="6" t="n">
        <v>141</v>
      </c>
      <c r="B142" s="6" t="s">
        <v>376</v>
      </c>
      <c r="C142" s="6" t="s">
        <v>50</v>
      </c>
      <c r="D142" s="6" t="s">
        <v>377</v>
      </c>
      <c r="E142" s="6" t="s">
        <v>95</v>
      </c>
      <c r="F142" s="6" t="s">
        <v>96</v>
      </c>
      <c r="G142" s="6" t="s">
        <v>97</v>
      </c>
      <c r="H142" s="6" t="s">
        <v>132</v>
      </c>
      <c r="I142" s="6" t="s">
        <v>133</v>
      </c>
      <c r="J142" s="6" t="s">
        <v>134</v>
      </c>
      <c r="K142" s="7" t="s">
        <v>35</v>
      </c>
      <c r="L142" s="6" t="n">
        <v>1433.39</v>
      </c>
      <c r="M142" s="7" t="s">
        <v>36</v>
      </c>
    </row>
    <row r="143" customFormat="false" ht="15" hidden="false" customHeight="false" outlineLevel="0" collapsed="false">
      <c r="A143" s="6" t="n">
        <v>142</v>
      </c>
      <c r="B143" s="6" t="s">
        <v>378</v>
      </c>
      <c r="C143" s="6" t="s">
        <v>28</v>
      </c>
      <c r="D143" s="6" t="s">
        <v>379</v>
      </c>
      <c r="E143" s="6" t="s">
        <v>95</v>
      </c>
      <c r="F143" s="6" t="s">
        <v>96</v>
      </c>
      <c r="G143" s="6" t="s">
        <v>97</v>
      </c>
      <c r="H143" s="6" t="s">
        <v>132</v>
      </c>
      <c r="I143" s="6" t="s">
        <v>133</v>
      </c>
      <c r="J143" s="6" t="s">
        <v>134</v>
      </c>
      <c r="K143" s="7" t="s">
        <v>35</v>
      </c>
      <c r="L143" s="6" t="n">
        <v>1407.61</v>
      </c>
      <c r="M143" s="7" t="s">
        <v>36</v>
      </c>
    </row>
    <row r="144" customFormat="false" ht="15" hidden="false" customHeight="false" outlineLevel="0" collapsed="false">
      <c r="A144" s="6" t="n">
        <v>143</v>
      </c>
      <c r="B144" s="6" t="s">
        <v>380</v>
      </c>
      <c r="C144" s="6" t="s">
        <v>153</v>
      </c>
      <c r="D144" s="6" t="s">
        <v>381</v>
      </c>
      <c r="E144" s="6" t="s">
        <v>120</v>
      </c>
      <c r="F144" s="6" t="s">
        <v>121</v>
      </c>
      <c r="G144" s="6" t="s">
        <v>122</v>
      </c>
      <c r="H144" s="6" t="s">
        <v>295</v>
      </c>
      <c r="I144" s="6" t="s">
        <v>296</v>
      </c>
      <c r="J144" s="6" t="s">
        <v>122</v>
      </c>
      <c r="K144" s="7" t="s">
        <v>35</v>
      </c>
      <c r="L144" s="6" t="n">
        <v>1261.28</v>
      </c>
      <c r="M144" s="7" t="s">
        <v>36</v>
      </c>
    </row>
    <row r="145" customFormat="false" ht="15" hidden="false" customHeight="false" outlineLevel="0" collapsed="false">
      <c r="A145" s="6" t="n">
        <v>144</v>
      </c>
      <c r="B145" s="6" t="s">
        <v>382</v>
      </c>
      <c r="C145" s="6" t="s">
        <v>78</v>
      </c>
      <c r="D145" s="6" t="s">
        <v>383</v>
      </c>
      <c r="E145" s="6" t="s">
        <v>139</v>
      </c>
      <c r="F145" s="6" t="s">
        <v>140</v>
      </c>
      <c r="G145" s="6" t="s">
        <v>141</v>
      </c>
      <c r="H145" s="6" t="s">
        <v>132</v>
      </c>
      <c r="I145" s="6" t="s">
        <v>133</v>
      </c>
      <c r="J145" s="6" t="s">
        <v>134</v>
      </c>
      <c r="K145" s="7" t="s">
        <v>35</v>
      </c>
      <c r="L145" s="6" t="n">
        <v>1017.18</v>
      </c>
      <c r="M145" s="7" t="s">
        <v>36</v>
      </c>
    </row>
    <row r="146" customFormat="false" ht="15" hidden="false" customHeight="false" outlineLevel="0" collapsed="false">
      <c r="A146" s="6" t="n">
        <v>145</v>
      </c>
      <c r="B146" s="6" t="s">
        <v>384</v>
      </c>
      <c r="C146" s="6" t="s">
        <v>93</v>
      </c>
      <c r="D146" s="6" t="s">
        <v>363</v>
      </c>
      <c r="E146" s="6" t="s">
        <v>88</v>
      </c>
      <c r="F146" s="6" t="s">
        <v>89</v>
      </c>
      <c r="G146" s="6" t="s">
        <v>90</v>
      </c>
      <c r="H146" s="6" t="s">
        <v>33</v>
      </c>
      <c r="I146" s="6" t="s">
        <v>34</v>
      </c>
      <c r="J146" s="6" t="s">
        <v>32</v>
      </c>
      <c r="K146" s="8" t="s">
        <v>91</v>
      </c>
      <c r="L146" s="6" t="n">
        <v>931.16</v>
      </c>
      <c r="M146" s="8" t="s">
        <v>46</v>
      </c>
    </row>
    <row r="147" customFormat="false" ht="15" hidden="false" customHeight="false" outlineLevel="0" collapsed="false">
      <c r="A147" s="6" t="n">
        <v>146</v>
      </c>
      <c r="B147" s="6" t="s">
        <v>385</v>
      </c>
      <c r="C147" s="6" t="s">
        <v>78</v>
      </c>
      <c r="D147" s="6" t="s">
        <v>386</v>
      </c>
      <c r="E147" s="6" t="s">
        <v>120</v>
      </c>
      <c r="F147" s="6" t="s">
        <v>121</v>
      </c>
      <c r="G147" s="6" t="s">
        <v>122</v>
      </c>
      <c r="H147" s="6" t="s">
        <v>295</v>
      </c>
      <c r="I147" s="6" t="s">
        <v>296</v>
      </c>
      <c r="J147" s="6" t="s">
        <v>122</v>
      </c>
      <c r="K147" s="7" t="s">
        <v>35</v>
      </c>
      <c r="L147" s="6" t="n">
        <v>1160.88</v>
      </c>
      <c r="M147" s="7" t="s">
        <v>36</v>
      </c>
    </row>
    <row r="148" customFormat="false" ht="15" hidden="false" customHeight="false" outlineLevel="0" collapsed="false">
      <c r="A148" s="6" t="n">
        <v>147</v>
      </c>
      <c r="B148" s="6" t="s">
        <v>387</v>
      </c>
      <c r="C148" s="6" t="s">
        <v>38</v>
      </c>
      <c r="D148" s="6" t="s">
        <v>226</v>
      </c>
      <c r="E148" s="6" t="s">
        <v>80</v>
      </c>
      <c r="F148" s="6" t="s">
        <v>81</v>
      </c>
      <c r="G148" s="6" t="s">
        <v>82</v>
      </c>
      <c r="H148" s="6" t="s">
        <v>116</v>
      </c>
      <c r="I148" s="6" t="s">
        <v>117</v>
      </c>
      <c r="J148" s="6" t="s">
        <v>85</v>
      </c>
      <c r="K148" s="7" t="s">
        <v>35</v>
      </c>
      <c r="L148" s="6" t="n">
        <v>433.9</v>
      </c>
      <c r="M148" s="7" t="s">
        <v>36</v>
      </c>
    </row>
    <row r="149" customFormat="false" ht="15" hidden="false" customHeight="false" outlineLevel="0" collapsed="false">
      <c r="A149" s="6" t="n">
        <v>148</v>
      </c>
      <c r="B149" s="6" t="s">
        <v>388</v>
      </c>
      <c r="C149" s="6" t="s">
        <v>28</v>
      </c>
      <c r="D149" s="6" t="s">
        <v>389</v>
      </c>
      <c r="E149" s="6" t="s">
        <v>139</v>
      </c>
      <c r="F149" s="6" t="s">
        <v>140</v>
      </c>
      <c r="G149" s="6" t="s">
        <v>141</v>
      </c>
      <c r="H149" s="6" t="s">
        <v>83</v>
      </c>
      <c r="I149" s="6" t="s">
        <v>84</v>
      </c>
      <c r="J149" s="6" t="s">
        <v>85</v>
      </c>
      <c r="K149" s="8" t="s">
        <v>45</v>
      </c>
      <c r="L149" s="6" t="n">
        <v>200.38</v>
      </c>
      <c r="M149" s="8" t="s">
        <v>46</v>
      </c>
    </row>
    <row r="150" customFormat="false" ht="15" hidden="false" customHeight="false" outlineLevel="0" collapsed="false">
      <c r="A150" s="6" t="n">
        <v>149</v>
      </c>
      <c r="B150" s="6" t="s">
        <v>390</v>
      </c>
      <c r="C150" s="6" t="s">
        <v>153</v>
      </c>
      <c r="D150" s="6" t="s">
        <v>391</v>
      </c>
      <c r="E150" s="6" t="s">
        <v>54</v>
      </c>
      <c r="F150" s="6" t="s">
        <v>55</v>
      </c>
      <c r="G150" s="6" t="s">
        <v>56</v>
      </c>
      <c r="H150" s="6" t="s">
        <v>57</v>
      </c>
      <c r="I150" s="6" t="s">
        <v>58</v>
      </c>
      <c r="J150" s="6" t="s">
        <v>59</v>
      </c>
      <c r="K150" s="7" t="s">
        <v>35</v>
      </c>
      <c r="L150" s="6" t="n">
        <v>762.36</v>
      </c>
      <c r="M150" s="7" t="s">
        <v>36</v>
      </c>
    </row>
    <row r="151" customFormat="false" ht="15" hidden="false" customHeight="false" outlineLevel="0" collapsed="false">
      <c r="A151" s="6" t="n">
        <v>150</v>
      </c>
      <c r="B151" s="6" t="s">
        <v>392</v>
      </c>
      <c r="C151" s="6" t="s">
        <v>50</v>
      </c>
      <c r="D151" s="6" t="s">
        <v>393</v>
      </c>
      <c r="E151" s="6" t="s">
        <v>88</v>
      </c>
      <c r="F151" s="6" t="s">
        <v>89</v>
      </c>
      <c r="G151" s="6" t="s">
        <v>90</v>
      </c>
      <c r="H151" s="6" t="s">
        <v>57</v>
      </c>
      <c r="I151" s="6" t="s">
        <v>58</v>
      </c>
      <c r="J151" s="6" t="s">
        <v>59</v>
      </c>
      <c r="K151" s="8" t="s">
        <v>91</v>
      </c>
      <c r="L151" s="6" t="n">
        <v>3294.81</v>
      </c>
      <c r="M151" s="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0" t="s">
        <v>394</v>
      </c>
      <c r="B1" s="10"/>
      <c r="C1" s="10"/>
      <c r="D1" s="10"/>
      <c r="E1" s="10"/>
      <c r="F1" s="10"/>
    </row>
    <row r="2" customFormat="false" ht="15" hidden="false" customHeight="false" outlineLevel="0" collapsed="false">
      <c r="A2" s="11" t="s">
        <v>395</v>
      </c>
      <c r="B2" s="11"/>
      <c r="C2" s="11"/>
      <c r="D2" s="11"/>
      <c r="E2" s="11"/>
      <c r="F2" s="11"/>
    </row>
    <row r="4" customFormat="false" ht="15" hidden="false" customHeight="false" outlineLevel="0" collapsed="false">
      <c r="A4" s="12" t="s">
        <v>396</v>
      </c>
      <c r="B4" s="12"/>
      <c r="C4" s="12" t="s">
        <v>397</v>
      </c>
      <c r="D4" s="12"/>
      <c r="E4" s="12" t="s">
        <v>398</v>
      </c>
      <c r="F4" s="12"/>
      <c r="G4" s="12" t="s">
        <v>399</v>
      </c>
      <c r="H4" s="12"/>
    </row>
    <row r="5" customFormat="false" ht="17.35" hidden="false" customHeight="false" outlineLevel="0" collapsed="false">
      <c r="A5" s="13" t="n">
        <f aca="false">COUNTA(Dataset!$M$2:$M$151)</f>
        <v>150</v>
      </c>
      <c r="B5" s="13"/>
      <c r="C5" s="13" t="n">
        <f aca="false">COUNTIF(Dataset!$M$2:$M$151,"APPROVED")</f>
        <v>75</v>
      </c>
      <c r="D5" s="13"/>
      <c r="E5" s="13" t="n">
        <f aca="false">COUNTIF(Dataset!$M$2:$M$151,"HUMAN_REVIEW")</f>
        <v>18</v>
      </c>
      <c r="F5" s="13"/>
      <c r="G5" s="13" t="n">
        <f aca="false">COUNTIF(Dataset!$M$2:$M$151,"DENIED")</f>
        <v>57</v>
      </c>
      <c r="H5" s="13"/>
    </row>
    <row r="8" customFormat="false" ht="15" hidden="false" customHeight="false" outlineLevel="0" collapsed="false">
      <c r="A8" s="14" t="s">
        <v>400</v>
      </c>
    </row>
    <row r="9" customFormat="false" ht="28.35" hidden="false" customHeight="false" outlineLevel="0" collapsed="false">
      <c r="A9" s="5" t="s">
        <v>24</v>
      </c>
      <c r="B9" s="5" t="s">
        <v>36</v>
      </c>
      <c r="C9" s="5" t="s">
        <v>69</v>
      </c>
      <c r="D9" s="5" t="s">
        <v>46</v>
      </c>
    </row>
    <row r="10" customFormat="false" ht="15" hidden="false" customHeight="false" outlineLevel="0" collapsed="false">
      <c r="A10" s="6" t="s">
        <v>35</v>
      </c>
      <c r="B10" s="6" t="n">
        <f aca="false">COUNTIFS(Dataset!$K$2:$K$151,A10,Dataset!$M$2:$M$151,"APPROVED")</f>
        <v>75</v>
      </c>
      <c r="C10" s="6" t="n">
        <f aca="false">COUNTIFS(Dataset!$K$2:$K$151,A10,Dataset!$M$2:$M$151,"HUMAN_REVIEW")</f>
        <v>0</v>
      </c>
      <c r="D10" s="6" t="n">
        <f aca="false">COUNTIFS(Dataset!$K$2:$K$151,A10,Dataset!$M$2:$M$151,"DENIED")</f>
        <v>0</v>
      </c>
    </row>
    <row r="11" customFormat="false" ht="15" hidden="false" customHeight="false" outlineLevel="0" collapsed="false">
      <c r="A11" s="6" t="s">
        <v>68</v>
      </c>
      <c r="B11" s="6" t="n">
        <f aca="false">COUNTIFS(Dataset!$K$2:$K$151,A11,Dataset!$M$2:$M$151,"APPROVED")</f>
        <v>0</v>
      </c>
      <c r="C11" s="6" t="n">
        <f aca="false">COUNTIFS(Dataset!$K$2:$K$151,A11,Dataset!$M$2:$M$151,"HUMAN_REVIEW")</f>
        <v>18</v>
      </c>
      <c r="D11" s="6" t="n">
        <f aca="false">COUNTIFS(Dataset!$K$2:$K$151,A11,Dataset!$M$2:$M$151,"DENIED")</f>
        <v>0</v>
      </c>
    </row>
    <row r="12" customFormat="false" ht="15" hidden="false" customHeight="false" outlineLevel="0" collapsed="false">
      <c r="A12" s="6" t="s">
        <v>45</v>
      </c>
      <c r="B12" s="6" t="n">
        <f aca="false">COUNTIFS(Dataset!$K$2:$K$151,A12,Dataset!$M$2:$M$151,"APPROVED")</f>
        <v>0</v>
      </c>
      <c r="C12" s="6" t="n">
        <f aca="false">COUNTIFS(Dataset!$K$2:$K$151,A12,Dataset!$M$2:$M$151,"HUMAN_REVIEW")</f>
        <v>0</v>
      </c>
      <c r="D12" s="6" t="n">
        <f aca="false">COUNTIFS(Dataset!$K$2:$K$151,A12,Dataset!$M$2:$M$151,"DENIED")</f>
        <v>23</v>
      </c>
    </row>
    <row r="13" customFormat="false" ht="15" hidden="false" customHeight="false" outlineLevel="0" collapsed="false">
      <c r="A13" s="6" t="s">
        <v>91</v>
      </c>
      <c r="B13" s="6" t="n">
        <f aca="false">COUNTIFS(Dataset!$K$2:$K$151,A13,Dataset!$M$2:$M$151,"APPROVED")</f>
        <v>0</v>
      </c>
      <c r="C13" s="6" t="n">
        <f aca="false">COUNTIFS(Dataset!$K$2:$K$151,A13,Dataset!$M$2:$M$151,"HUMAN_REVIEW")</f>
        <v>0</v>
      </c>
      <c r="D13" s="6" t="n">
        <f aca="false">COUNTIFS(Dataset!$K$2:$K$151,A13,Dataset!$M$2:$M$151,"DENIED")</f>
        <v>34</v>
      </c>
    </row>
  </sheetData>
  <mergeCells count="10">
    <mergeCell ref="A1:F1"/>
    <mergeCell ref="A2:F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2026-08-18T11:10:35Z</dcterms:created>
  <dc:creator>openpyxl</dc:creator>
  <dc:description/>
  <dc:language>en-US</dc:language>
  <cp:lastModifiedBy/>
  <dcterms:modified xsi:type="dcterms:W3CDTF">2026-08-18T11:10:46Z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